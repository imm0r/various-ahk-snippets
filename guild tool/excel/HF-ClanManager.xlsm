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F:\ahk\guild tool\excel\"/>
    </mc:Choice>
  </mc:AlternateContent>
  <xr:revisionPtr revIDLastSave="0" documentId="13_ncr:1_{69DF9206-824A-4201-BBAF-3839CDE7B0D5}" xr6:coauthVersionLast="47" xr6:coauthVersionMax="47" xr10:uidLastSave="{00000000-0000-0000-0000-000000000000}"/>
  <bookViews>
    <workbookView xWindow="6480" yWindow="-92" windowWidth="18956" windowHeight="16312" activeTab="2" xr2:uid="{E516F67A-774B-44A9-AE49-98FB63A0302D}"/>
  </bookViews>
  <sheets>
    <sheet name="dashboard" sheetId="9" r:id="rId1"/>
    <sheet name="ClanMembers" sheetId="1" r:id="rId2"/>
    <sheet name="hDataTotal" sheetId="10" r:id="rId3"/>
    <sheet name="AddDonations" sheetId="6" r:id="rId4"/>
    <sheet name="CDMGR" sheetId="2" r:id="rId5"/>
    <sheet name="hClasses" sheetId="4" r:id="rId6"/>
    <sheet name="hRoles" sheetId="5" r:id="rId7"/>
    <sheet name="hCDs" sheetId="3" r:id="rId8"/>
    <sheet name="hChart_ClassDistribution" sheetId="8" r:id="rId9"/>
  </sheets>
  <functionGroups builtInGroupCount="19"/>
  <definedNames>
    <definedName name="_xlcn.WorksheetConnection_HellenicsForcesClanManager.xlsmTable_ClanMembers" hidden="1">Table_ClanMembers[]</definedName>
    <definedName name="col_hDataTotal_Members">Tbl_TotalDonations[Member]</definedName>
    <definedName name="col_thisWeeksDonations">Table_ClanMembers[this weeks donation]</definedName>
    <definedName name="donations_MembersList">Table_AddDonations[[#All],[Member]]</definedName>
    <definedName name="TblContent_Members">ClanMembers!$A$2:$G$52</definedName>
    <definedName name="testCls">hClasses!$A$2:$B$97</definedName>
  </definedNames>
  <calcPr calcId="191029"/>
  <pivotCaches>
    <pivotCache cacheId="6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2" l="1"/>
  <c r="G2" i="2"/>
  <c r="C5" i="2"/>
  <c r="A46" i="6"/>
  <c r="A15" i="6"/>
  <c r="A40" i="6"/>
  <c r="A50" i="6"/>
  <c r="A34" i="6"/>
  <c r="A9" i="6"/>
  <c r="A53" i="6"/>
  <c r="A49" i="6"/>
  <c r="A35" i="6"/>
  <c r="A18" i="6"/>
  <c r="A47" i="6"/>
  <c r="A26" i="6"/>
  <c r="A8" i="6"/>
  <c r="A6" i="6"/>
  <c r="A30" i="6"/>
  <c r="A14" i="6"/>
  <c r="A16" i="6"/>
  <c r="A36" i="6"/>
  <c r="A45" i="6"/>
  <c r="A5" i="6"/>
  <c r="A51" i="6"/>
  <c r="A28" i="6"/>
  <c r="A23" i="6"/>
  <c r="A37" i="6"/>
  <c r="A42" i="6"/>
  <c r="A52" i="6"/>
  <c r="A4" i="6"/>
  <c r="A19" i="6"/>
  <c r="A27" i="6"/>
  <c r="A21" i="6"/>
  <c r="A38" i="6"/>
  <c r="A33" i="6"/>
  <c r="A44" i="6"/>
  <c r="A41" i="6"/>
  <c r="A39" i="6"/>
  <c r="A12" i="6"/>
  <c r="A29" i="6"/>
  <c r="A22" i="6"/>
  <c r="A17" i="6"/>
  <c r="A24" i="6"/>
  <c r="A43" i="6"/>
  <c r="A10" i="6"/>
  <c r="A48" i="6"/>
  <c r="A31" i="6"/>
  <c r="A20" i="6"/>
  <c r="A32" i="6"/>
  <c r="A11" i="6"/>
  <c r="A13" i="6"/>
  <c r="A7" i="6"/>
  <c r="A25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9EBAB73-A389-42BB-B972-B46C9F719FEF}" name="WorksheetConnection_HellenicsForces-ClanManager.xlsm!Table_ClanMembers" type="102" refreshedVersion="7" minRefreshableVersion="5" saveData="1">
    <extLst>
      <ext xmlns:x15="http://schemas.microsoft.com/office/spreadsheetml/2010/11/main" uri="{DE250136-89BD-433C-8126-D09CA5730AF9}">
        <x15:connection id="Table_ClanMembers">
          <x15:rangePr sourceName="_xlcn.WorksheetConnection_HellenicsForcesClanManager.xlsmTable_ClanMembers"/>
        </x15:connection>
      </ext>
    </extLst>
  </connection>
</connections>
</file>

<file path=xl/sharedStrings.xml><?xml version="1.0" encoding="utf-8"?>
<sst xmlns="http://schemas.openxmlformats.org/spreadsheetml/2006/main" count="387" uniqueCount="174">
  <si>
    <t>-</t>
  </si>
  <si>
    <t>Silver Ranger</t>
  </si>
  <si>
    <t>Guild Member List</t>
  </si>
  <si>
    <t>Class</t>
  </si>
  <si>
    <t>Level</t>
  </si>
  <si>
    <t>Rank</t>
  </si>
  <si>
    <t>Varkaron</t>
  </si>
  <si>
    <t>Cruma</t>
  </si>
  <si>
    <t>Tiat</t>
  </si>
  <si>
    <t>Queen Ant</t>
  </si>
  <si>
    <t>easy</t>
  </si>
  <si>
    <t>normal</t>
  </si>
  <si>
    <t>hard</t>
  </si>
  <si>
    <t>very hard</t>
  </si>
  <si>
    <t>very easy</t>
  </si>
  <si>
    <t>select the current Clan Dungeon</t>
  </si>
  <si>
    <t>select the current difficulty</t>
  </si>
  <si>
    <t>select a Member</t>
  </si>
  <si>
    <t>To test the buttons above press 'CTRL' + 'V' after clicking em</t>
  </si>
  <si>
    <t>Adventurer</t>
  </si>
  <si>
    <t>Bishop</t>
  </si>
  <si>
    <t>Sage</t>
  </si>
  <si>
    <t>Eternal Guardian</t>
  </si>
  <si>
    <t>War Slayer</t>
  </si>
  <si>
    <t>Bounty Hunter</t>
  </si>
  <si>
    <t>Warsmith</t>
  </si>
  <si>
    <t>Eldrich Wizard</t>
  </si>
  <si>
    <t>Master Sage</t>
  </si>
  <si>
    <t>Phoenix Knight</t>
  </si>
  <si>
    <t>Dreadnought</t>
  </si>
  <si>
    <t>Warrior</t>
  </si>
  <si>
    <t>Rogue</t>
  </si>
  <si>
    <t>Mystic</t>
  </si>
  <si>
    <t>Orc Raider</t>
  </si>
  <si>
    <t>Orc Monk</t>
  </si>
  <si>
    <t>Orc Shaman</t>
  </si>
  <si>
    <t>Destroyer</t>
  </si>
  <si>
    <t>Tyrant</t>
  </si>
  <si>
    <t>Warcryer</t>
  </si>
  <si>
    <t>Sagittarius</t>
  </si>
  <si>
    <t>Archmage</t>
  </si>
  <si>
    <t>Berserker</t>
  </si>
  <si>
    <t>Arbalester</t>
  </si>
  <si>
    <t>Soul Breaker</t>
  </si>
  <si>
    <t>Cardinal</t>
  </si>
  <si>
    <t>Doombringer</t>
  </si>
  <si>
    <t>Trickster</t>
  </si>
  <si>
    <t>Soul Hound</t>
  </si>
  <si>
    <t>Temple Knight</t>
  </si>
  <si>
    <t>Swordsinger</t>
  </si>
  <si>
    <t>Plains Walker</t>
  </si>
  <si>
    <t>Spellsinger</t>
  </si>
  <si>
    <t>Elder</t>
  </si>
  <si>
    <t>Eva`s Templar</t>
  </si>
  <si>
    <t>Sword Muse</t>
  </si>
  <si>
    <t>Windrider</t>
  </si>
  <si>
    <t>Moonlight Sentinel</t>
  </si>
  <si>
    <t>Mystic Muse</t>
  </si>
  <si>
    <t>Eva`s Saint</t>
  </si>
  <si>
    <t>Paladin</t>
  </si>
  <si>
    <t>Warlord</t>
  </si>
  <si>
    <t>Shillien Knight</t>
  </si>
  <si>
    <t>Bladedancer</t>
  </si>
  <si>
    <t>Abyss Walker</t>
  </si>
  <si>
    <t>Phantom Ranger</t>
  </si>
  <si>
    <t>Spellhowler</t>
  </si>
  <si>
    <t>Treasure Hunter</t>
  </si>
  <si>
    <t>Shillien Elder</t>
  </si>
  <si>
    <t>Shillien Templar</t>
  </si>
  <si>
    <t>Spectral Dancer</t>
  </si>
  <si>
    <t>Ghost Hunter</t>
  </si>
  <si>
    <t>Ghost Sentinel</t>
  </si>
  <si>
    <t>Storm Screamer</t>
  </si>
  <si>
    <t>Shillien Saint</t>
  </si>
  <si>
    <t>Hawkeye</t>
  </si>
  <si>
    <t>Sorcerer</t>
  </si>
  <si>
    <t>Guardian</t>
  </si>
  <si>
    <t>Slayer</t>
  </si>
  <si>
    <t>Scavenger</t>
  </si>
  <si>
    <t>War Ranger</t>
  </si>
  <si>
    <t>Battle Mage</t>
  </si>
  <si>
    <t>class_ID</t>
  </si>
  <si>
    <t>class_Name</t>
  </si>
  <si>
    <t>Role ID</t>
  </si>
  <si>
    <t>Role Name</t>
  </si>
  <si>
    <t>Leader</t>
  </si>
  <si>
    <t>Knight</t>
  </si>
  <si>
    <t>Captain</t>
  </si>
  <si>
    <t>Squire</t>
  </si>
  <si>
    <t>ID</t>
  </si>
  <si>
    <t>Herp??s</t>
  </si>
  <si>
    <t>Member</t>
  </si>
  <si>
    <t>adding donations to the main table</t>
  </si>
  <si>
    <t>todays donations for each member</t>
  </si>
  <si>
    <t>15.02.2023</t>
  </si>
  <si>
    <t>.</t>
  </si>
  <si>
    <t xml:space="preserve"> </t>
  </si>
  <si>
    <t>theflash123</t>
  </si>
  <si>
    <t>KelvinLGW</t>
  </si>
  <si>
    <t>easy%</t>
  </si>
  <si>
    <t>INVICTUS1</t>
  </si>
  <si>
    <t>demonlord#</t>
  </si>
  <si>
    <t>Lumiel</t>
  </si>
  <si>
    <t>kaptanikolas</t>
  </si>
  <si>
    <t>cer123</t>
  </si>
  <si>
    <t>reQuim</t>
  </si>
  <si>
    <t>AidMaiden</t>
  </si>
  <si>
    <t>Mlia</t>
  </si>
  <si>
    <t>TheKingOfOrcs</t>
  </si>
  <si>
    <t>jiggas</t>
  </si>
  <si>
    <t>ksmnsns</t>
  </si>
  <si>
    <t>sam1</t>
  </si>
  <si>
    <t>Stavr0sNorth</t>
  </si>
  <si>
    <t>Jyk78</t>
  </si>
  <si>
    <t>Momot</t>
  </si>
  <si>
    <t>waaarghzomg</t>
  </si>
  <si>
    <t>CelloOr</t>
  </si>
  <si>
    <t>Orkesh</t>
  </si>
  <si>
    <t>rabitoon</t>
  </si>
  <si>
    <t>Aranarth</t>
  </si>
  <si>
    <t>Kyuremate</t>
  </si>
  <si>
    <t>zingaraus</t>
  </si>
  <si>
    <t>Moschino9</t>
  </si>
  <si>
    <t>LythBery</t>
  </si>
  <si>
    <t>Trenta</t>
  </si>
  <si>
    <t>HARLEY8QUINN</t>
  </si>
  <si>
    <t>Yakobus</t>
  </si>
  <si>
    <t>SVA</t>
  </si>
  <si>
    <t>hliasmpinas</t>
  </si>
  <si>
    <t>Argeta</t>
  </si>
  <si>
    <t>Adya#</t>
  </si>
  <si>
    <t>Nyxxie</t>
  </si>
  <si>
    <t>MORDALF</t>
  </si>
  <si>
    <t>Hoofknife</t>
  </si>
  <si>
    <t>Electromagnetic</t>
  </si>
  <si>
    <t>Mikilon#</t>
  </si>
  <si>
    <t>iDaevart</t>
  </si>
  <si>
    <t>CodeGirl20</t>
  </si>
  <si>
    <t>Sleepyfoot</t>
  </si>
  <si>
    <t>rebuild</t>
  </si>
  <si>
    <t>Mk</t>
  </si>
  <si>
    <t>hisroyalbadness</t>
  </si>
  <si>
    <t>Giann0s</t>
  </si>
  <si>
    <t>ttman</t>
  </si>
  <si>
    <t>Talon</t>
  </si>
  <si>
    <t>GoKU</t>
  </si>
  <si>
    <t>Zeilenbeschriftungen</t>
  </si>
  <si>
    <t>Gesamtergebnis</t>
  </si>
  <si>
    <t>Anzahl von Class</t>
  </si>
  <si>
    <t>calendar week 08</t>
  </si>
  <si>
    <t>calendar week 09</t>
  </si>
  <si>
    <t>calendar week 10</t>
  </si>
  <si>
    <t>calendar week 11</t>
  </si>
  <si>
    <t>calendar week 12</t>
  </si>
  <si>
    <t>calendar week 13</t>
  </si>
  <si>
    <t>calendar week 14</t>
  </si>
  <si>
    <t>calendar week 15</t>
  </si>
  <si>
    <t>calendar week 16</t>
  </si>
  <si>
    <t>graph</t>
  </si>
  <si>
    <t>Import done!</t>
  </si>
  <si>
    <t>no problems detected! (50/50)</t>
  </si>
  <si>
    <t>calendar week 17</t>
  </si>
  <si>
    <t>calendar week 18</t>
  </si>
  <si>
    <t>calendar week 19</t>
  </si>
  <si>
    <t>calendar week 20</t>
  </si>
  <si>
    <t>calendar week 21</t>
  </si>
  <si>
    <t>calendar week 22</t>
  </si>
  <si>
    <t>this weeks donation</t>
  </si>
  <si>
    <t>CodeGirl20 GO! (Tiat - easy)</t>
  </si>
  <si>
    <t>calendar week 23</t>
  </si>
  <si>
    <t>calendar week 24</t>
  </si>
  <si>
    <t>calendar week 25</t>
  </si>
  <si>
    <t>calendar week 26</t>
  </si>
  <si>
    <t>calendar week 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</si>
</sst>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0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b/>
      <sz val="20"/>
      <color theme="1"/>
      <name val="Calibri"/>
      <family val="2"/>
      <scheme val="minor"/>
    </font>
    <font>
      <b/>
      <sz val="10"/>
      <color theme="1"/>
      <name val="Arial Narrow"/>
      <family val="2"/>
    </font>
    <font>
      <i/>
      <sz val="16"/>
      <color theme="2" tint="-0.249977111117893"/>
      <name val="Calibri"/>
      <family val="2"/>
      <scheme val="minor"/>
    </font>
    <font>
      <sz val="16"/>
      <color theme="1"/>
      <name val="Bahnschrift SemiBold Condensed"/>
      <family val="2"/>
    </font>
    <font>
      <sz val="16"/>
      <color rgb="FF000000"/>
      <name val="Bahnschrift SemiBold Condensed"/>
      <family val="2"/>
    </font>
    <font>
      <sz val="48"/>
      <color theme="7" tint="0.39997558519241921"/>
      <name val="Berlin Sans FB"/>
      <family val="2"/>
    </font>
    <font>
      <b/>
      <sz val="16"/>
      <color theme="1"/>
      <name val="Bahnschrift SemiBold Condensed"/>
      <family val="2"/>
    </font>
    <font>
      <sz val="16"/>
      <color theme="1"/>
      <name val="Bahnschrift SemiBold"/>
      <family val="2"/>
    </font>
    <font>
      <sz val="12"/>
      <color theme="1"/>
      <name val="Bahnschrift"/>
      <family val="2"/>
    </font>
    <font>
      <sz val="28"/>
      <color rgb="FF000080"/>
      <name val="Bahnschrift SemiBold Condensed"/>
      <family val="2"/>
    </font>
    <font>
      <sz val="16"/>
      <color rgb="FFFF0000"/>
      <name val="Bahnschrift SemiLight Condensed"/>
      <family val="2"/>
    </font>
    <font>
      <sz val="26"/>
      <color rgb="FF008080"/>
      <name val="Bahnschrift SemiBold Condensed"/>
      <family val="2"/>
    </font>
    <font>
      <sz val="8"/>
      <name val="Calibri"/>
      <family val="2"/>
      <scheme val="minor"/>
    </font>
    <font>
      <sz val="11"/>
      <color theme="1"/>
      <name val="Bahnschrift Light"/>
      <family val="2"/>
    </font>
    <font>
      <sz val="12"/>
      <color theme="1"/>
      <name val="Bahnschrift Light"/>
      <family val="2"/>
    </font>
    <font>
      <sz val="14"/>
      <color theme="1"/>
      <name val="Bahnschrift Light Condensed"/>
      <family val="2"/>
    </font>
    <font>
      <sz val="14"/>
      <color theme="1"/>
      <name val="Bahnschrift"/>
      <family val="2"/>
    </font>
    <font>
      <sz val="11"/>
      <color theme="0"/>
      <name val="Calibri"/>
      <family val="2"/>
      <scheme val="minor"/>
    </font>
    <font>
      <sz val="16"/>
      <color theme="8" tint="-0.249977111117893"/>
      <name val="Bahnschrift SemiBold Condensed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-0.249977111117893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auto="1"/>
      </right>
      <top/>
      <bottom style="mediumDashed">
        <color auto="1"/>
      </bottom>
      <diagonal/>
    </border>
    <border>
      <left style="medium">
        <color auto="1"/>
      </left>
      <right style="medium">
        <color auto="1"/>
      </right>
      <top/>
      <bottom style="mediumDashed">
        <color auto="1"/>
      </bottom>
      <diagonal/>
    </border>
    <border>
      <left style="medium">
        <color auto="1"/>
      </left>
      <right/>
      <top/>
      <bottom style="mediumDashed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 style="mediumDashed">
        <color theme="3"/>
      </top>
      <bottom style="mediumDashed">
        <color theme="3"/>
      </bottom>
      <diagonal/>
    </border>
    <border>
      <left style="medium">
        <color auto="1"/>
      </left>
      <right style="medium">
        <color auto="1"/>
      </right>
      <top style="mediumDashed">
        <color theme="3"/>
      </top>
      <bottom style="mediumDashed">
        <color theme="3"/>
      </bottom>
      <diagonal/>
    </border>
    <border>
      <left style="medium">
        <color auto="1"/>
      </left>
      <right/>
      <top style="mediumDashed">
        <color theme="3"/>
      </top>
      <bottom style="mediumDashed">
        <color theme="3"/>
      </bottom>
      <diagonal/>
    </border>
    <border>
      <left/>
      <right/>
      <top style="mediumDashed">
        <color theme="3"/>
      </top>
      <bottom style="mediumDashed">
        <color theme="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uble">
        <color theme="5" tint="0.39994506668294322"/>
      </bottom>
      <diagonal/>
    </border>
    <border>
      <left/>
      <right style="thin">
        <color theme="2" tint="-0.24994659260841701"/>
      </right>
      <top/>
      <bottom/>
      <diagonal/>
    </border>
    <border>
      <left style="thin">
        <color theme="2" tint="-0.24994659260841701"/>
      </left>
      <right style="thin">
        <color theme="2" tint="-0.24994659260841701"/>
      </right>
      <top/>
      <bottom/>
      <diagonal/>
    </border>
    <border>
      <left/>
      <right style="thin">
        <color theme="2" tint="-0.24994659260841701"/>
      </right>
      <top/>
      <bottom style="thick">
        <color theme="6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/>
      <bottom style="thick">
        <color theme="6" tint="-0.24994659260841701"/>
      </bottom>
      <diagonal/>
    </border>
  </borders>
  <cellStyleXfs count="1">
    <xf numFmtId="0" fontId="0" fillId="0" borderId="0"/>
  </cellStyleXfs>
  <cellXfs count="111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2" borderId="0" xfId="0" applyFill="1"/>
    <xf numFmtId="0" fontId="1" fillId="2" borderId="0" xfId="0" applyFont="1" applyFill="1" applyAlignment="1">
      <alignment vertical="center"/>
    </xf>
    <xf numFmtId="0" fontId="0" fillId="2" borderId="2" xfId="0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0" fillId="2" borderId="8" xfId="0" applyFill="1" applyBorder="1"/>
    <xf numFmtId="0" fontId="3" fillId="2" borderId="9" xfId="0" applyFont="1" applyFill="1" applyBorder="1" applyAlignment="1">
      <alignment wrapText="1"/>
    </xf>
    <xf numFmtId="0" fontId="0" fillId="2" borderId="12" xfId="0" applyFill="1" applyBorder="1"/>
    <xf numFmtId="0" fontId="0" fillId="2" borderId="11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5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 vertical="top"/>
    </xf>
    <xf numFmtId="0" fontId="1" fillId="3" borderId="1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 wrapText="1"/>
    </xf>
    <xf numFmtId="0" fontId="1" fillId="4" borderId="7" xfId="0" applyFont="1" applyFill="1" applyBorder="1" applyAlignment="1">
      <alignment horizontal="center" vertical="center" wrapText="1"/>
    </xf>
    <xf numFmtId="0" fontId="1" fillId="4" borderId="1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right" vertical="center" indent="1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indent="2"/>
    </xf>
    <xf numFmtId="0" fontId="2" fillId="0" borderId="0" xfId="0" applyFont="1" applyAlignment="1">
      <alignment horizontal="right" indent="1"/>
    </xf>
    <xf numFmtId="164" fontId="2" fillId="0" borderId="0" xfId="0" applyNumberFormat="1" applyFont="1" applyAlignment="1">
      <alignment horizontal="center"/>
    </xf>
    <xf numFmtId="0" fontId="2" fillId="2" borderId="0" xfId="0" applyFont="1" applyFill="1"/>
    <xf numFmtId="0" fontId="2" fillId="2" borderId="0" xfId="0" applyFont="1" applyFill="1" applyAlignment="1">
      <alignment vertical="center"/>
    </xf>
    <xf numFmtId="0" fontId="0" fillId="2" borderId="3" xfId="0" applyFill="1" applyBorder="1" applyAlignment="1">
      <alignment vertical="center"/>
    </xf>
    <xf numFmtId="0" fontId="0" fillId="2" borderId="20" xfId="0" applyFill="1" applyBorder="1" applyAlignment="1">
      <alignment vertical="center"/>
    </xf>
    <xf numFmtId="0" fontId="0" fillId="2" borderId="4" xfId="0" applyFill="1" applyBorder="1" applyAlignment="1">
      <alignment vertical="center"/>
    </xf>
    <xf numFmtId="0" fontId="0" fillId="0" borderId="0" xfId="0" applyBorder="1"/>
    <xf numFmtId="0" fontId="0" fillId="0" borderId="0" xfId="0" applyBorder="1" applyAlignment="1">
      <alignment horizontal="left" vertical="center" indent="1"/>
    </xf>
    <xf numFmtId="0" fontId="0" fillId="0" borderId="0" xfId="0" applyAlignment="1">
      <alignment horizontal="right" vertical="center" indent="2"/>
    </xf>
    <xf numFmtId="0" fontId="0" fillId="0" borderId="0" xfId="0" applyBorder="1" applyAlignment="1">
      <alignment horizontal="right" vertical="center" indent="2"/>
    </xf>
    <xf numFmtId="0" fontId="11" fillId="0" borderId="0" xfId="0" applyFont="1" applyAlignment="1">
      <alignment horizontal="right" vertical="center" indent="2"/>
    </xf>
    <xf numFmtId="0" fontId="11" fillId="0" borderId="0" xfId="0" applyFont="1" applyAlignment="1">
      <alignment horizontal="left" vertical="center" indent="1"/>
    </xf>
    <xf numFmtId="0" fontId="11" fillId="0" borderId="0" xfId="0" applyFont="1" applyAlignment="1">
      <alignment horizontal="right" vertical="center" indent="1"/>
    </xf>
    <xf numFmtId="164" fontId="6" fillId="6" borderId="21" xfId="0" applyNumberFormat="1" applyFont="1" applyFill="1" applyBorder="1" applyAlignment="1">
      <alignment horizontal="center" vertical="center"/>
    </xf>
    <xf numFmtId="0" fontId="6" fillId="6" borderId="22" xfId="0" applyFont="1" applyFill="1" applyBorder="1" applyAlignment="1">
      <alignment horizontal="right" vertical="center" indent="1"/>
    </xf>
    <xf numFmtId="0" fontId="6" fillId="6" borderId="22" xfId="0" applyFont="1" applyFill="1" applyBorder="1" applyAlignment="1">
      <alignment horizontal="center" vertical="center"/>
    </xf>
    <xf numFmtId="0" fontId="6" fillId="6" borderId="22" xfId="0" applyFont="1" applyFill="1" applyBorder="1" applyAlignment="1">
      <alignment horizontal="left" vertical="center" indent="1"/>
    </xf>
    <xf numFmtId="0" fontId="6" fillId="6" borderId="23" xfId="0" applyFont="1" applyFill="1" applyBorder="1" applyAlignment="1">
      <alignment horizontal="center" vertical="center"/>
    </xf>
    <xf numFmtId="164" fontId="6" fillId="0" borderId="21" xfId="0" applyNumberFormat="1" applyFont="1" applyBorder="1" applyAlignment="1">
      <alignment horizontal="center" vertical="center"/>
    </xf>
    <xf numFmtId="0" fontId="6" fillId="0" borderId="22" xfId="0" applyFont="1" applyBorder="1" applyAlignment="1">
      <alignment horizontal="right" vertical="center" indent="1"/>
    </xf>
    <xf numFmtId="0" fontId="6" fillId="0" borderId="22" xfId="0" applyFont="1" applyBorder="1" applyAlignment="1">
      <alignment horizontal="center" vertical="center"/>
    </xf>
    <xf numFmtId="0" fontId="6" fillId="0" borderId="22" xfId="0" applyFont="1" applyBorder="1" applyAlignment="1">
      <alignment horizontal="left" vertical="center" indent="1"/>
    </xf>
    <xf numFmtId="0" fontId="6" fillId="0" borderId="23" xfId="0" applyFont="1" applyBorder="1" applyAlignment="1">
      <alignment horizontal="center" vertical="center"/>
    </xf>
    <xf numFmtId="164" fontId="6" fillId="0" borderId="24" xfId="0" applyNumberFormat="1" applyFont="1" applyBorder="1" applyAlignment="1">
      <alignment horizontal="center" vertical="center"/>
    </xf>
    <xf numFmtId="0" fontId="6" fillId="0" borderId="23" xfId="0" applyFont="1" applyBorder="1" applyAlignment="1">
      <alignment horizontal="right" vertical="center" indent="1"/>
    </xf>
    <xf numFmtId="0" fontId="6" fillId="0" borderId="23" xfId="0" applyFont="1" applyBorder="1" applyAlignment="1">
      <alignment horizontal="left" vertical="center" indent="1"/>
    </xf>
    <xf numFmtId="164" fontId="6" fillId="6" borderId="24" xfId="0" applyNumberFormat="1" applyFont="1" applyFill="1" applyBorder="1" applyAlignment="1">
      <alignment horizontal="center" vertical="center"/>
    </xf>
    <xf numFmtId="0" fontId="6" fillId="6" borderId="23" xfId="0" applyFont="1" applyFill="1" applyBorder="1" applyAlignment="1">
      <alignment horizontal="right" vertical="center" indent="1"/>
    </xf>
    <xf numFmtId="0" fontId="6" fillId="6" borderId="23" xfId="0" applyFont="1" applyFill="1" applyBorder="1" applyAlignment="1">
      <alignment horizontal="left" vertical="center" indent="1"/>
    </xf>
    <xf numFmtId="1" fontId="6" fillId="6" borderId="23" xfId="0" applyNumberFormat="1" applyFont="1" applyFill="1" applyBorder="1" applyAlignment="1">
      <alignment horizontal="center" vertical="center"/>
    </xf>
    <xf numFmtId="1" fontId="6" fillId="0" borderId="23" xfId="0" applyNumberFormat="1" applyFont="1" applyBorder="1" applyAlignment="1">
      <alignment horizontal="center" vertical="center"/>
    </xf>
    <xf numFmtId="1" fontId="9" fillId="0" borderId="23" xfId="0" applyNumberFormat="1" applyFont="1" applyBorder="1" applyAlignment="1">
      <alignment horizontal="center" vertical="center"/>
    </xf>
    <xf numFmtId="1" fontId="6" fillId="6" borderId="22" xfId="0" applyNumberFormat="1" applyFont="1" applyFill="1" applyBorder="1" applyAlignment="1">
      <alignment horizontal="center" vertical="center"/>
    </xf>
    <xf numFmtId="1" fontId="6" fillId="0" borderId="22" xfId="0" applyNumberFormat="1" applyFont="1" applyBorder="1" applyAlignment="1">
      <alignment horizontal="center" vertical="center"/>
    </xf>
    <xf numFmtId="0" fontId="2" fillId="7" borderId="25" xfId="0" applyFont="1" applyFill="1" applyBorder="1" applyAlignment="1"/>
    <xf numFmtId="14" fontId="2" fillId="2" borderId="0" xfId="0" applyNumberFormat="1" applyFont="1" applyFill="1" applyBorder="1"/>
    <xf numFmtId="3" fontId="6" fillId="0" borderId="23" xfId="0" applyNumberFormat="1" applyFont="1" applyBorder="1" applyAlignment="1">
      <alignment horizontal="center" vertical="center"/>
    </xf>
    <xf numFmtId="0" fontId="13" fillId="2" borderId="26" xfId="0" applyFont="1" applyFill="1" applyBorder="1" applyAlignment="1">
      <alignment horizont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vertical="center"/>
    </xf>
    <xf numFmtId="0" fontId="16" fillId="0" borderId="0" xfId="0" applyFont="1" applyAlignment="1">
      <alignment horizontal="center" vertical="center"/>
    </xf>
    <xf numFmtId="0" fontId="16" fillId="8" borderId="27" xfId="0" applyFont="1" applyFill="1" applyBorder="1" applyAlignment="1">
      <alignment horizontal="right" vertical="center" indent="1"/>
    </xf>
    <xf numFmtId="0" fontId="17" fillId="8" borderId="28" xfId="0" applyFont="1" applyFill="1" applyBorder="1" applyAlignment="1">
      <alignment horizontal="right" vertical="center" indent="1"/>
    </xf>
    <xf numFmtId="0" fontId="16" fillId="8" borderId="28" xfId="0" applyFont="1" applyFill="1" applyBorder="1" applyAlignment="1">
      <alignment horizontal="center" vertical="center"/>
    </xf>
    <xf numFmtId="0" fontId="16" fillId="0" borderId="27" xfId="0" applyFont="1" applyBorder="1" applyAlignment="1">
      <alignment horizontal="right" vertical="center" indent="1"/>
    </xf>
    <xf numFmtId="0" fontId="16" fillId="0" borderId="28" xfId="0" applyFont="1" applyBorder="1" applyAlignment="1">
      <alignment horizontal="right" vertical="center" indent="1"/>
    </xf>
    <xf numFmtId="0" fontId="16" fillId="0" borderId="28" xfId="0" applyFont="1" applyBorder="1" applyAlignment="1">
      <alignment horizontal="center" vertical="center"/>
    </xf>
    <xf numFmtId="0" fontId="16" fillId="8" borderId="28" xfId="0" applyFont="1" applyFill="1" applyBorder="1" applyAlignment="1">
      <alignment horizontal="right" vertical="center" indent="1"/>
    </xf>
    <xf numFmtId="0" fontId="16" fillId="2" borderId="28" xfId="0" applyFont="1" applyFill="1" applyBorder="1" applyAlignment="1">
      <alignment horizontal="right" vertical="center" indent="1"/>
    </xf>
    <xf numFmtId="0" fontId="18" fillId="0" borderId="0" xfId="0" applyFont="1" applyAlignment="1">
      <alignment vertical="center" wrapText="1"/>
    </xf>
    <xf numFmtId="49" fontId="18" fillId="9" borderId="30" xfId="0" applyNumberFormat="1" applyFont="1" applyFill="1" applyBorder="1" applyAlignment="1">
      <alignment horizontal="center" vertical="top" textRotation="90" wrapText="1"/>
    </xf>
    <xf numFmtId="0" fontId="18" fillId="9" borderId="30" xfId="0" applyFont="1" applyFill="1" applyBorder="1" applyAlignment="1">
      <alignment horizontal="center" vertical="top" textRotation="90" wrapText="1"/>
    </xf>
    <xf numFmtId="0" fontId="19" fillId="9" borderId="29" xfId="0" applyFont="1" applyFill="1" applyBorder="1" applyAlignment="1">
      <alignment horizontal="center" wrapText="1"/>
    </xf>
    <xf numFmtId="0" fontId="19" fillId="9" borderId="30" xfId="0" applyFont="1" applyFill="1" applyBorder="1" applyAlignment="1">
      <alignment horizontal="center" wrapText="1"/>
    </xf>
    <xf numFmtId="0" fontId="6" fillId="0" borderId="16" xfId="0" applyFont="1" applyBorder="1" applyAlignment="1">
      <alignment horizontal="left" vertical="center" indent="1"/>
    </xf>
    <xf numFmtId="164" fontId="6" fillId="0" borderId="16" xfId="0" applyNumberFormat="1" applyFont="1" applyBorder="1" applyAlignment="1">
      <alignment horizontal="center" vertical="center"/>
    </xf>
    <xf numFmtId="0" fontId="6" fillId="0" borderId="17" xfId="0" applyFont="1" applyBorder="1" applyAlignment="1">
      <alignment horizontal="right" vertical="center" indent="1"/>
    </xf>
    <xf numFmtId="1" fontId="6" fillId="0" borderId="17" xfId="0" applyNumberFormat="1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1" fontId="6" fillId="0" borderId="18" xfId="0" applyNumberFormat="1" applyFont="1" applyBorder="1" applyAlignment="1">
      <alignment horizontal="center" vertical="center"/>
    </xf>
    <xf numFmtId="0" fontId="6" fillId="0" borderId="23" xfId="0" applyNumberFormat="1" applyFont="1" applyBorder="1" applyAlignment="1">
      <alignment horizontal="center" vertical="center"/>
    </xf>
    <xf numFmtId="0" fontId="2" fillId="2" borderId="0" xfId="0" applyFont="1" applyFill="1" applyAlignment="1">
      <alignment horizontal="center" vertical="top"/>
    </xf>
    <xf numFmtId="0" fontId="21" fillId="0" borderId="18" xfId="0" applyFont="1" applyBorder="1" applyAlignment="1">
      <alignment horizontal="center" vertical="center"/>
    </xf>
    <xf numFmtId="0" fontId="20" fillId="0" borderId="0" xfId="0" applyFont="1"/>
    <xf numFmtId="0" fontId="9" fillId="0" borderId="21" xfId="0" applyFont="1" applyBorder="1" applyAlignment="1">
      <alignment horizontal="center" vertical="center"/>
    </xf>
    <xf numFmtId="0" fontId="7" fillId="6" borderId="22" xfId="0" applyFont="1" applyFill="1" applyBorder="1" applyAlignment="1">
      <alignment horizontal="right" vertical="center" indent="1"/>
    </xf>
    <xf numFmtId="0" fontId="9" fillId="0" borderId="22" xfId="0" applyFont="1" applyBorder="1" applyAlignment="1">
      <alignment horizontal="right" vertical="center" indent="1"/>
    </xf>
    <xf numFmtId="1" fontId="9" fillId="0" borderId="22" xfId="0" applyNumberFormat="1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22" xfId="0" applyFont="1" applyBorder="1" applyAlignment="1">
      <alignment horizontal="left" vertical="center" indent="1"/>
    </xf>
    <xf numFmtId="0" fontId="8" fillId="5" borderId="19" xfId="0" applyFont="1" applyFill="1" applyBorder="1" applyAlignment="1">
      <alignment horizontal="center" vertical="center"/>
    </xf>
    <xf numFmtId="0" fontId="8" fillId="5" borderId="8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2" borderId="11" xfId="0" applyFill="1" applyBorder="1" applyAlignment="1">
      <alignment horizontal="center"/>
    </xf>
    <xf numFmtId="0" fontId="3" fillId="2" borderId="8" xfId="0" applyFont="1" applyFill="1" applyBorder="1" applyAlignment="1">
      <alignment horizontal="center" wrapText="1"/>
    </xf>
    <xf numFmtId="0" fontId="3" fillId="2" borderId="0" xfId="0" applyFont="1" applyFill="1" applyAlignment="1">
      <alignment horizontal="center" wrapText="1"/>
    </xf>
    <xf numFmtId="0" fontId="4" fillId="4" borderId="1" xfId="0" applyFont="1" applyFill="1" applyBorder="1" applyAlignment="1">
      <alignment horizontal="center" vertical="top"/>
    </xf>
    <xf numFmtId="0" fontId="1" fillId="2" borderId="0" xfId="0" applyFont="1" applyFill="1" applyAlignment="1">
      <alignment horizontal="center" vertical="center"/>
    </xf>
    <xf numFmtId="0" fontId="20" fillId="0" borderId="0" xfId="0" applyFont="1" applyAlignment="1">
      <alignment horizontal="center"/>
    </xf>
  </cellXfs>
  <cellStyles count="1">
    <cellStyle name="Standard" xfId="0" builtinId="0"/>
  </cellStyles>
  <dxfs count="66">
    <dxf>
      <alignment horizontal="left" vertical="center" textRotation="0" wrapText="0" indent="1" justifyLastLine="0" shrinkToFit="0" readingOrder="0"/>
    </dxf>
    <dxf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Bahnschrift"/>
        <family val="2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Bahnschrift"/>
        <family val="2"/>
        <scheme val="none"/>
      </font>
      <numFmt numFmtId="0" formatCode="General"/>
      <alignment horizontal="right" vertical="center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Bahnschrift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Bahnschrif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/>
        <bottom/>
        <vertical style="thin">
          <color theme="2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/>
        <bottom/>
        <vertical style="thin">
          <color theme="2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/>
        <bottom/>
        <vertical style="thin">
          <color theme="2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/>
        <bottom/>
        <vertical style="thin">
          <color theme="2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/>
        <bottom/>
        <vertical style="thin">
          <color theme="2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/>
        <bottom/>
        <vertical style="thin">
          <color theme="2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/>
        <bottom/>
        <vertical style="thin">
          <color theme="2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/>
        <bottom/>
        <vertical style="thin">
          <color theme="2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right" vertical="center" textRotation="0" wrapText="0" indent="1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/>
        <bottom/>
        <vertical style="thin">
          <color theme="2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color theme="1"/>
        <name val="Bahnschrift Light"/>
        <family val="2"/>
        <scheme val="none"/>
      </font>
      <alignment horizontal="right" vertical="center" textRotation="0" wrapText="0" relativeIndent="1" justifyLastLine="0" shrinkToFit="0" readingOrder="0"/>
      <border diagonalUp="0" diagonalDown="0">
        <left/>
        <right style="thin">
          <color theme="2" tint="-0.24994659260841701"/>
        </right>
        <top/>
        <bottom/>
        <vertical style="thin">
          <color theme="2" tint="-0.24994659260841701"/>
        </vertical>
        <horizontal/>
      </border>
    </dxf>
    <dxf>
      <font>
        <strike val="0"/>
        <outline val="0"/>
        <shadow val="0"/>
        <u val="none"/>
        <vertAlign val="baseline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thick">
          <color theme="6" tint="-0.24994659260841701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Bahnschrift Light Condensed"/>
        <family val="2"/>
        <scheme val="none"/>
      </font>
      <fill>
        <patternFill patternType="solid">
          <fgColor indexed="64"/>
          <bgColor theme="3" tint="-0.249977111117893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Bahnschrift SemiBold Condensed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 style="mediumDashed">
          <color theme="3"/>
        </top>
        <bottom style="mediumDashed">
          <color theme="3"/>
        </bottom>
        <horizontal style="mediumDashed">
          <color theme="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Bahnschrift SemiBold Condensed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 style="mediumDashed">
          <color theme="3"/>
        </top>
        <bottom style="mediumDashed">
          <color theme="3"/>
        </bottom>
        <horizontal style="mediumDashed">
          <color theme="3"/>
        </horizontal>
      </border>
    </dxf>
    <dxf>
      <font>
        <i val="0"/>
      </font>
      <numFmt numFmtId="0" formatCode="General"/>
      <border diagonalUp="0" diagonalDown="0">
        <top style="mediumDashed">
          <color theme="3"/>
        </top>
        <bottom style="mediumDashed">
          <color theme="3"/>
        </bottom>
        <horizontal style="mediumDashed">
          <color theme="3"/>
        </horizontal>
      </border>
    </dxf>
    <dxf>
      <font>
        <i val="0"/>
      </font>
      <alignment horizontal="center" vertical="center" textRotation="0" wrapText="0" indent="0" justifyLastLine="0" shrinkToFit="0" readingOrder="0"/>
      <border diagonalUp="0" diagonalDown="0" outline="0">
        <top style="mediumDashed">
          <color theme="3"/>
        </top>
        <bottom style="mediumDashed">
          <color theme="3"/>
        </bottom>
      </border>
    </dxf>
    <dxf>
      <font>
        <i val="0"/>
      </font>
      <border diagonalUp="0" diagonalDown="0">
        <top style="mediumDashed">
          <color theme="3"/>
        </top>
        <bottom style="mediumDashed">
          <color theme="3"/>
        </bottom>
        <horizontal style="mediumDashed">
          <color theme="3"/>
        </horizontal>
      </border>
    </dxf>
    <dxf>
      <font>
        <i val="0"/>
      </font>
      <border diagonalUp="0" diagonalDown="0">
        <top style="mediumDashed">
          <color theme="3"/>
        </top>
        <bottom style="mediumDashed">
          <color theme="3"/>
        </bottom>
        <horizontal style="mediumDashed">
          <color theme="3"/>
        </horizontal>
      </border>
    </dxf>
    <dxf>
      <font>
        <i val="0"/>
      </font>
      <border diagonalUp="0" diagonalDown="0">
        <top style="mediumDashed">
          <color theme="3"/>
        </top>
        <bottom style="mediumDashed">
          <color theme="3"/>
        </bottom>
        <horizontal style="mediumDashed">
          <color theme="3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i val="0"/>
      </font>
    </dxf>
    <dxf>
      <border outline="0">
        <bottom style="mediumDashed">
          <color auto="1"/>
        </bottom>
      </border>
    </dxf>
    <dxf>
      <fill>
        <patternFill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  <border>
        <top/>
      </border>
    </dxf>
    <dxf>
      <fill>
        <patternFill patternType="solid">
          <fgColor theme="4" tint="0.79995117038483843"/>
          <bgColor theme="4" tint="0.79995117038483843"/>
        </patternFill>
      </fill>
      <border>
        <bottom/>
      </border>
    </dxf>
  </dxfs>
  <tableStyles count="1" defaultTableStyle="TableStyleMedium2" defaultPivotStyle="PivotStyleLight16">
    <tableStyle name="Vereinfachtes Pivotformat" table="0" count="3" xr9:uid="{680491B5-AC10-44EA-9BF7-16143B6C0CF9}">
      <tableStyleElement type="headerRow" dxfId="65"/>
      <tableStyleElement type="totalRow" dxfId="64"/>
      <tableStyleElement type="secondRowStripe" dxfId="63"/>
    </tableStyle>
  </tableStyles>
  <colors>
    <mruColors>
      <color rgb="FFFF89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de-DE"/>
              <a:t>Donation-Statistics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de-DE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2859911477422662E-2"/>
          <c:y val="0.11135625516447903"/>
          <c:w val="0.95148330532438652"/>
          <c:h val="0.72644860279429213"/>
        </c:manualLayout>
      </c:layout>
      <c:bar3DChart>
        <c:barDir val="col"/>
        <c:grouping val="clustered"/>
        <c:varyColors val="0"/>
        <c:ser>
          <c:idx val="6"/>
          <c:order val="6"/>
          <c:tx>
            <c:strRef>
              <c:f>ClanMembers!$G$2</c:f>
              <c:strCache>
                <c:ptCount val="1"/>
                <c:pt idx="0">
                  <c:v>this weeks donation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ClanMembers!$B$2:$B$52</c15:sqref>
                  </c15:fullRef>
                </c:ext>
              </c:extLst>
              <c:f>ClanMembers!$B$3:$B$52</c:f>
              <c:strCache>
                <c:ptCount val="50"/>
                <c:pt idx="0">
                  <c:v>Talon</c:v>
                </c:pt>
                <c:pt idx="1">
                  <c:v>GoKU</c:v>
                </c:pt>
                <c:pt idx="2">
                  <c:v>rebuild</c:v>
                </c:pt>
                <c:pt idx="3">
                  <c:v>ttman</c:v>
                </c:pt>
                <c:pt idx="4">
                  <c:v>Momot</c:v>
                </c:pt>
                <c:pt idx="5">
                  <c:v>cer123</c:v>
                </c:pt>
                <c:pt idx="6">
                  <c:v>zingaraus</c:v>
                </c:pt>
                <c:pt idx="7">
                  <c:v>Trenta</c:v>
                </c:pt>
                <c:pt idx="8">
                  <c:v>MORDALF</c:v>
                </c:pt>
                <c:pt idx="9">
                  <c:v>hisroyalbadness</c:v>
                </c:pt>
                <c:pt idx="10">
                  <c:v>theflash123</c:v>
                </c:pt>
                <c:pt idx="11">
                  <c:v>KelvinLGW</c:v>
                </c:pt>
                <c:pt idx="12">
                  <c:v>CelloOr</c:v>
                </c:pt>
                <c:pt idx="13">
                  <c:v>Aranarth</c:v>
                </c:pt>
                <c:pt idx="14">
                  <c:v>LythBery</c:v>
                </c:pt>
                <c:pt idx="15">
                  <c:v>Giann0s</c:v>
                </c:pt>
                <c:pt idx="16">
                  <c:v>HARLEY8QUINN</c:v>
                </c:pt>
                <c:pt idx="17">
                  <c:v>Moschino9</c:v>
                </c:pt>
                <c:pt idx="18">
                  <c:v>SVA</c:v>
                </c:pt>
                <c:pt idx="19">
                  <c:v>AidMaiden</c:v>
                </c:pt>
                <c:pt idx="20">
                  <c:v>waaarghzomg</c:v>
                </c:pt>
                <c:pt idx="21">
                  <c:v>Kyuremate</c:v>
                </c:pt>
                <c:pt idx="22">
                  <c:v>jiggas</c:v>
                </c:pt>
                <c:pt idx="23">
                  <c:v>Nyxxie</c:v>
                </c:pt>
                <c:pt idx="24">
                  <c:v>sam1</c:v>
                </c:pt>
                <c:pt idx="25">
                  <c:v>Yakobus</c:v>
                </c:pt>
                <c:pt idx="26">
                  <c:v>Adya#</c:v>
                </c:pt>
                <c:pt idx="27">
                  <c:v>hliasmpinas</c:v>
                </c:pt>
                <c:pt idx="28">
                  <c:v>ksmnsns</c:v>
                </c:pt>
                <c:pt idx="29">
                  <c:v>iDaevart</c:v>
                </c:pt>
                <c:pt idx="30">
                  <c:v>Orkesh</c:v>
                </c:pt>
                <c:pt idx="31">
                  <c:v>Mlia</c:v>
                </c:pt>
                <c:pt idx="32">
                  <c:v>Stavr0sNorth</c:v>
                </c:pt>
                <c:pt idx="33">
                  <c:v>reQuim</c:v>
                </c:pt>
                <c:pt idx="34">
                  <c:v>rabitoon</c:v>
                </c:pt>
                <c:pt idx="35">
                  <c:v>easy%</c:v>
                </c:pt>
                <c:pt idx="36">
                  <c:v>Lumiel</c:v>
                </c:pt>
                <c:pt idx="37">
                  <c:v>INVICTUS1</c:v>
                </c:pt>
                <c:pt idx="38">
                  <c:v>Herp??s</c:v>
                </c:pt>
                <c:pt idx="39">
                  <c:v>Jyk78</c:v>
                </c:pt>
                <c:pt idx="40">
                  <c:v>CodeGirl20</c:v>
                </c:pt>
                <c:pt idx="41">
                  <c:v>Sleepyfoot</c:v>
                </c:pt>
                <c:pt idx="42">
                  <c:v>TheKingOfOrcs</c:v>
                </c:pt>
                <c:pt idx="43">
                  <c:v>Mikilon#</c:v>
                </c:pt>
                <c:pt idx="44">
                  <c:v>Mk</c:v>
                </c:pt>
                <c:pt idx="45">
                  <c:v>Hoofknife</c:v>
                </c:pt>
                <c:pt idx="46">
                  <c:v>demonlord#</c:v>
                </c:pt>
                <c:pt idx="47">
                  <c:v>Electromagnetic</c:v>
                </c:pt>
                <c:pt idx="48">
                  <c:v>Argeta</c:v>
                </c:pt>
                <c:pt idx="49">
                  <c:v>kaptanikolas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ClanMembers!$G$2:$G$52</c15:sqref>
                  </c15:fullRef>
                </c:ext>
              </c:extLst>
              <c:f>ClanMembers!$G$3:$G$52</c:f>
              <c:numCache>
                <c:formatCode>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2835</c:v>
                </c:pt>
                <c:pt idx="3">
                  <c:v>0</c:v>
                </c:pt>
                <c:pt idx="4">
                  <c:v>3445</c:v>
                </c:pt>
                <c:pt idx="5">
                  <c:v>3150</c:v>
                </c:pt>
                <c:pt idx="6">
                  <c:v>2100</c:v>
                </c:pt>
                <c:pt idx="7">
                  <c:v>550</c:v>
                </c:pt>
                <c:pt idx="8">
                  <c:v>0</c:v>
                </c:pt>
                <c:pt idx="9">
                  <c:v>2810</c:v>
                </c:pt>
                <c:pt idx="10">
                  <c:v>2110</c:v>
                </c:pt>
                <c:pt idx="11">
                  <c:v>1000</c:v>
                </c:pt>
                <c:pt idx="12">
                  <c:v>2100</c:v>
                </c:pt>
                <c:pt idx="13">
                  <c:v>0</c:v>
                </c:pt>
                <c:pt idx="14">
                  <c:v>750</c:v>
                </c:pt>
                <c:pt idx="15">
                  <c:v>0</c:v>
                </c:pt>
                <c:pt idx="16">
                  <c:v>2385</c:v>
                </c:pt>
                <c:pt idx="17">
                  <c:v>1800</c:v>
                </c:pt>
                <c:pt idx="18">
                  <c:v>3285</c:v>
                </c:pt>
                <c:pt idx="19">
                  <c:v>3165</c:v>
                </c:pt>
                <c:pt idx="20">
                  <c:v>2890</c:v>
                </c:pt>
                <c:pt idx="21">
                  <c:v>400</c:v>
                </c:pt>
                <c:pt idx="22">
                  <c:v>800</c:v>
                </c:pt>
                <c:pt idx="23">
                  <c:v>2100</c:v>
                </c:pt>
                <c:pt idx="24">
                  <c:v>3945</c:v>
                </c:pt>
                <c:pt idx="25">
                  <c:v>0</c:v>
                </c:pt>
                <c:pt idx="26">
                  <c:v>1960</c:v>
                </c:pt>
                <c:pt idx="27">
                  <c:v>0</c:v>
                </c:pt>
                <c:pt idx="28">
                  <c:v>2100</c:v>
                </c:pt>
                <c:pt idx="29">
                  <c:v>450</c:v>
                </c:pt>
                <c:pt idx="30">
                  <c:v>0</c:v>
                </c:pt>
                <c:pt idx="31">
                  <c:v>0</c:v>
                </c:pt>
                <c:pt idx="32">
                  <c:v>1200</c:v>
                </c:pt>
                <c:pt idx="33">
                  <c:v>3150</c:v>
                </c:pt>
                <c:pt idx="34">
                  <c:v>2885</c:v>
                </c:pt>
                <c:pt idx="35">
                  <c:v>250</c:v>
                </c:pt>
                <c:pt idx="36">
                  <c:v>2800</c:v>
                </c:pt>
                <c:pt idx="37">
                  <c:v>2300</c:v>
                </c:pt>
                <c:pt idx="38">
                  <c:v>0</c:v>
                </c:pt>
                <c:pt idx="39">
                  <c:v>2100</c:v>
                </c:pt>
                <c:pt idx="40" formatCode="#,##0">
                  <c:v>4320</c:v>
                </c:pt>
                <c:pt idx="41">
                  <c:v>0</c:v>
                </c:pt>
                <c:pt idx="42">
                  <c:v>4477</c:v>
                </c:pt>
                <c:pt idx="43">
                  <c:v>1460</c:v>
                </c:pt>
                <c:pt idx="44">
                  <c:v>0</c:v>
                </c:pt>
                <c:pt idx="45">
                  <c:v>150</c:v>
                </c:pt>
                <c:pt idx="46">
                  <c:v>4000</c:v>
                </c:pt>
                <c:pt idx="47">
                  <c:v>0</c:v>
                </c:pt>
                <c:pt idx="48">
                  <c:v>900</c:v>
                </c:pt>
                <c:pt idx="49">
                  <c:v>1820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8CA-4F14-8A61-32B60109FC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86777296"/>
        <c:axId val="686778608"/>
        <c:axId val="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ClanMembers!$A$2</c15:sqref>
                        </c15:formulaRef>
                      </c:ext>
                    </c:extLst>
                    <c:strCache>
                      <c:ptCount val="1"/>
                      <c:pt idx="0">
                        <c:v>ID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  <a:sp3d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de-DE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ClanMembers!$B$2:$B$52</c15:sqref>
                        </c15:fullRef>
                        <c15:formulaRef>
                          <c15:sqref>ClanMembers!$B$3:$B$52</c15:sqref>
                        </c15:formulaRef>
                      </c:ext>
                    </c:extLst>
                    <c:strCache>
                      <c:ptCount val="50"/>
                      <c:pt idx="0">
                        <c:v>Talon</c:v>
                      </c:pt>
                      <c:pt idx="1">
                        <c:v>GoKU</c:v>
                      </c:pt>
                      <c:pt idx="2">
                        <c:v>rebuild</c:v>
                      </c:pt>
                      <c:pt idx="3">
                        <c:v>ttman</c:v>
                      </c:pt>
                      <c:pt idx="4">
                        <c:v>Momot</c:v>
                      </c:pt>
                      <c:pt idx="5">
                        <c:v>cer123</c:v>
                      </c:pt>
                      <c:pt idx="6">
                        <c:v>zingaraus</c:v>
                      </c:pt>
                      <c:pt idx="7">
                        <c:v>Trenta</c:v>
                      </c:pt>
                      <c:pt idx="8">
                        <c:v>MORDALF</c:v>
                      </c:pt>
                      <c:pt idx="9">
                        <c:v>hisroyalbadness</c:v>
                      </c:pt>
                      <c:pt idx="10">
                        <c:v>theflash123</c:v>
                      </c:pt>
                      <c:pt idx="11">
                        <c:v>KelvinLGW</c:v>
                      </c:pt>
                      <c:pt idx="12">
                        <c:v>CelloOr</c:v>
                      </c:pt>
                      <c:pt idx="13">
                        <c:v>Aranarth</c:v>
                      </c:pt>
                      <c:pt idx="14">
                        <c:v>LythBery</c:v>
                      </c:pt>
                      <c:pt idx="15">
                        <c:v>Giann0s</c:v>
                      </c:pt>
                      <c:pt idx="16">
                        <c:v>HARLEY8QUINN</c:v>
                      </c:pt>
                      <c:pt idx="17">
                        <c:v>Moschino9</c:v>
                      </c:pt>
                      <c:pt idx="18">
                        <c:v>SVA</c:v>
                      </c:pt>
                      <c:pt idx="19">
                        <c:v>AidMaiden</c:v>
                      </c:pt>
                      <c:pt idx="20">
                        <c:v>waaarghzomg</c:v>
                      </c:pt>
                      <c:pt idx="21">
                        <c:v>Kyuremate</c:v>
                      </c:pt>
                      <c:pt idx="22">
                        <c:v>jiggas</c:v>
                      </c:pt>
                      <c:pt idx="23">
                        <c:v>Nyxxie</c:v>
                      </c:pt>
                      <c:pt idx="24">
                        <c:v>sam1</c:v>
                      </c:pt>
                      <c:pt idx="25">
                        <c:v>Yakobus</c:v>
                      </c:pt>
                      <c:pt idx="26">
                        <c:v>Adya#</c:v>
                      </c:pt>
                      <c:pt idx="27">
                        <c:v>hliasmpinas</c:v>
                      </c:pt>
                      <c:pt idx="28">
                        <c:v>ksmnsns</c:v>
                      </c:pt>
                      <c:pt idx="29">
                        <c:v>iDaevart</c:v>
                      </c:pt>
                      <c:pt idx="30">
                        <c:v>Orkesh</c:v>
                      </c:pt>
                      <c:pt idx="31">
                        <c:v>Mlia</c:v>
                      </c:pt>
                      <c:pt idx="32">
                        <c:v>Stavr0sNorth</c:v>
                      </c:pt>
                      <c:pt idx="33">
                        <c:v>reQuim</c:v>
                      </c:pt>
                      <c:pt idx="34">
                        <c:v>rabitoon</c:v>
                      </c:pt>
                      <c:pt idx="35">
                        <c:v>easy%</c:v>
                      </c:pt>
                      <c:pt idx="36">
                        <c:v>Lumiel</c:v>
                      </c:pt>
                      <c:pt idx="37">
                        <c:v>INVICTUS1</c:v>
                      </c:pt>
                      <c:pt idx="38">
                        <c:v>Herp??s</c:v>
                      </c:pt>
                      <c:pt idx="39">
                        <c:v>Jyk78</c:v>
                      </c:pt>
                      <c:pt idx="40">
                        <c:v>CodeGirl20</c:v>
                      </c:pt>
                      <c:pt idx="41">
                        <c:v>Sleepyfoot</c:v>
                      </c:pt>
                      <c:pt idx="42">
                        <c:v>TheKingOfOrcs</c:v>
                      </c:pt>
                      <c:pt idx="43">
                        <c:v>Mikilon#</c:v>
                      </c:pt>
                      <c:pt idx="44">
                        <c:v>Mk</c:v>
                      </c:pt>
                      <c:pt idx="45">
                        <c:v>Hoofknife</c:v>
                      </c:pt>
                      <c:pt idx="46">
                        <c:v>demonlord#</c:v>
                      </c:pt>
                      <c:pt idx="47">
                        <c:v>Electromagnetic</c:v>
                      </c:pt>
                      <c:pt idx="48">
                        <c:v>Argeta</c:v>
                      </c:pt>
                      <c:pt idx="49">
                        <c:v>kaptanikolas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ClanMembers!$A$2:$A$52</c15:sqref>
                        </c15:fullRef>
                        <c15:formulaRef>
                          <c15:sqref>ClanMembers!$A$3:$A$52</c15:sqref>
                        </c15:formulaRef>
                      </c:ext>
                    </c:extLst>
                    <c:numCache>
                      <c:formatCode>00</c:formatCode>
                      <c:ptCount val="50"/>
                      <c:pt idx="0">
                        <c:v>49</c:v>
                      </c:pt>
                      <c:pt idx="1">
                        <c:v>50</c:v>
                      </c:pt>
                      <c:pt idx="2">
                        <c:v>44</c:v>
                      </c:pt>
                      <c:pt idx="3">
                        <c:v>48</c:v>
                      </c:pt>
                      <c:pt idx="4">
                        <c:v>18</c:v>
                      </c:pt>
                      <c:pt idx="5">
                        <c:v>8</c:v>
                      </c:pt>
                      <c:pt idx="6">
                        <c:v>25</c:v>
                      </c:pt>
                      <c:pt idx="7">
                        <c:v>28</c:v>
                      </c:pt>
                      <c:pt idx="8">
                        <c:v>36</c:v>
                      </c:pt>
                      <c:pt idx="9">
                        <c:v>46</c:v>
                      </c:pt>
                      <c:pt idx="10">
                        <c:v>1</c:v>
                      </c:pt>
                      <c:pt idx="11">
                        <c:v>2</c:v>
                      </c:pt>
                      <c:pt idx="12">
                        <c:v>20</c:v>
                      </c:pt>
                      <c:pt idx="13">
                        <c:v>23</c:v>
                      </c:pt>
                      <c:pt idx="14">
                        <c:v>27</c:v>
                      </c:pt>
                      <c:pt idx="15">
                        <c:v>47</c:v>
                      </c:pt>
                      <c:pt idx="16">
                        <c:v>29</c:v>
                      </c:pt>
                      <c:pt idx="17">
                        <c:v>26</c:v>
                      </c:pt>
                      <c:pt idx="18" formatCode="General">
                        <c:v>31</c:v>
                      </c:pt>
                      <c:pt idx="19">
                        <c:v>10</c:v>
                      </c:pt>
                      <c:pt idx="20">
                        <c:v>19</c:v>
                      </c:pt>
                      <c:pt idx="21">
                        <c:v>24</c:v>
                      </c:pt>
                      <c:pt idx="22">
                        <c:v>13</c:v>
                      </c:pt>
                      <c:pt idx="23">
                        <c:v>35</c:v>
                      </c:pt>
                      <c:pt idx="24">
                        <c:v>15</c:v>
                      </c:pt>
                      <c:pt idx="25">
                        <c:v>30</c:v>
                      </c:pt>
                      <c:pt idx="26">
                        <c:v>34</c:v>
                      </c:pt>
                      <c:pt idx="27">
                        <c:v>32</c:v>
                      </c:pt>
                      <c:pt idx="28">
                        <c:v>14</c:v>
                      </c:pt>
                      <c:pt idx="29">
                        <c:v>41</c:v>
                      </c:pt>
                      <c:pt idx="30">
                        <c:v>21</c:v>
                      </c:pt>
                      <c:pt idx="31">
                        <c:v>11</c:v>
                      </c:pt>
                      <c:pt idx="32">
                        <c:v>16</c:v>
                      </c:pt>
                      <c:pt idx="33">
                        <c:v>9</c:v>
                      </c:pt>
                      <c:pt idx="34">
                        <c:v>22</c:v>
                      </c:pt>
                      <c:pt idx="35">
                        <c:v>3</c:v>
                      </c:pt>
                      <c:pt idx="36">
                        <c:v>6</c:v>
                      </c:pt>
                      <c:pt idx="37">
                        <c:v>4</c:v>
                      </c:pt>
                      <c:pt idx="38">
                        <c:v>37</c:v>
                      </c:pt>
                      <c:pt idx="39">
                        <c:v>17</c:v>
                      </c:pt>
                      <c:pt idx="40">
                        <c:v>42</c:v>
                      </c:pt>
                      <c:pt idx="41">
                        <c:v>43</c:v>
                      </c:pt>
                      <c:pt idx="42">
                        <c:v>12</c:v>
                      </c:pt>
                      <c:pt idx="43">
                        <c:v>40</c:v>
                      </c:pt>
                      <c:pt idx="44">
                        <c:v>45</c:v>
                      </c:pt>
                      <c:pt idx="45">
                        <c:v>38</c:v>
                      </c:pt>
                      <c:pt idx="46">
                        <c:v>5</c:v>
                      </c:pt>
                      <c:pt idx="47">
                        <c:v>39</c:v>
                      </c:pt>
                      <c:pt idx="48">
                        <c:v>33</c:v>
                      </c:pt>
                      <c:pt idx="49">
                        <c:v>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48CA-4F14-8A61-32B60109FC0C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ClanMembers!$B$2</c15:sqref>
                        </c15:formulaRef>
                      </c:ext>
                    </c:extLst>
                    <c:strCache>
                      <c:ptCount val="1"/>
                      <c:pt idx="0">
                        <c:v>Member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  <a:sp3d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de-DE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ClanMembers!$B$2:$B$52</c15:sqref>
                        </c15:fullRef>
                        <c15:formulaRef>
                          <c15:sqref>ClanMembers!$B$3:$B$52</c15:sqref>
                        </c15:formulaRef>
                      </c:ext>
                    </c:extLst>
                    <c:strCache>
                      <c:ptCount val="50"/>
                      <c:pt idx="0">
                        <c:v>Talon</c:v>
                      </c:pt>
                      <c:pt idx="1">
                        <c:v>GoKU</c:v>
                      </c:pt>
                      <c:pt idx="2">
                        <c:v>rebuild</c:v>
                      </c:pt>
                      <c:pt idx="3">
                        <c:v>ttman</c:v>
                      </c:pt>
                      <c:pt idx="4">
                        <c:v>Momot</c:v>
                      </c:pt>
                      <c:pt idx="5">
                        <c:v>cer123</c:v>
                      </c:pt>
                      <c:pt idx="6">
                        <c:v>zingaraus</c:v>
                      </c:pt>
                      <c:pt idx="7">
                        <c:v>Trenta</c:v>
                      </c:pt>
                      <c:pt idx="8">
                        <c:v>MORDALF</c:v>
                      </c:pt>
                      <c:pt idx="9">
                        <c:v>hisroyalbadness</c:v>
                      </c:pt>
                      <c:pt idx="10">
                        <c:v>theflash123</c:v>
                      </c:pt>
                      <c:pt idx="11">
                        <c:v>KelvinLGW</c:v>
                      </c:pt>
                      <c:pt idx="12">
                        <c:v>CelloOr</c:v>
                      </c:pt>
                      <c:pt idx="13">
                        <c:v>Aranarth</c:v>
                      </c:pt>
                      <c:pt idx="14">
                        <c:v>LythBery</c:v>
                      </c:pt>
                      <c:pt idx="15">
                        <c:v>Giann0s</c:v>
                      </c:pt>
                      <c:pt idx="16">
                        <c:v>HARLEY8QUINN</c:v>
                      </c:pt>
                      <c:pt idx="17">
                        <c:v>Moschino9</c:v>
                      </c:pt>
                      <c:pt idx="18">
                        <c:v>SVA</c:v>
                      </c:pt>
                      <c:pt idx="19">
                        <c:v>AidMaiden</c:v>
                      </c:pt>
                      <c:pt idx="20">
                        <c:v>waaarghzomg</c:v>
                      </c:pt>
                      <c:pt idx="21">
                        <c:v>Kyuremate</c:v>
                      </c:pt>
                      <c:pt idx="22">
                        <c:v>jiggas</c:v>
                      </c:pt>
                      <c:pt idx="23">
                        <c:v>Nyxxie</c:v>
                      </c:pt>
                      <c:pt idx="24">
                        <c:v>sam1</c:v>
                      </c:pt>
                      <c:pt idx="25">
                        <c:v>Yakobus</c:v>
                      </c:pt>
                      <c:pt idx="26">
                        <c:v>Adya#</c:v>
                      </c:pt>
                      <c:pt idx="27">
                        <c:v>hliasmpinas</c:v>
                      </c:pt>
                      <c:pt idx="28">
                        <c:v>ksmnsns</c:v>
                      </c:pt>
                      <c:pt idx="29">
                        <c:v>iDaevart</c:v>
                      </c:pt>
                      <c:pt idx="30">
                        <c:v>Orkesh</c:v>
                      </c:pt>
                      <c:pt idx="31">
                        <c:v>Mlia</c:v>
                      </c:pt>
                      <c:pt idx="32">
                        <c:v>Stavr0sNorth</c:v>
                      </c:pt>
                      <c:pt idx="33">
                        <c:v>reQuim</c:v>
                      </c:pt>
                      <c:pt idx="34">
                        <c:v>rabitoon</c:v>
                      </c:pt>
                      <c:pt idx="35">
                        <c:v>easy%</c:v>
                      </c:pt>
                      <c:pt idx="36">
                        <c:v>Lumiel</c:v>
                      </c:pt>
                      <c:pt idx="37">
                        <c:v>INVICTUS1</c:v>
                      </c:pt>
                      <c:pt idx="38">
                        <c:v>Herp??s</c:v>
                      </c:pt>
                      <c:pt idx="39">
                        <c:v>Jyk78</c:v>
                      </c:pt>
                      <c:pt idx="40">
                        <c:v>CodeGirl20</c:v>
                      </c:pt>
                      <c:pt idx="41">
                        <c:v>Sleepyfoot</c:v>
                      </c:pt>
                      <c:pt idx="42">
                        <c:v>TheKingOfOrcs</c:v>
                      </c:pt>
                      <c:pt idx="43">
                        <c:v>Mikilon#</c:v>
                      </c:pt>
                      <c:pt idx="44">
                        <c:v>Mk</c:v>
                      </c:pt>
                      <c:pt idx="45">
                        <c:v>Hoofknife</c:v>
                      </c:pt>
                      <c:pt idx="46">
                        <c:v>demonlord#</c:v>
                      </c:pt>
                      <c:pt idx="47">
                        <c:v>Electromagnetic</c:v>
                      </c:pt>
                      <c:pt idx="48">
                        <c:v>Argeta</c:v>
                      </c:pt>
                      <c:pt idx="49">
                        <c:v>kaptanikolas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ClanMembers!$B$2:$B$52</c15:sqref>
                        </c15:fullRef>
                        <c15:formulaRef>
                          <c15:sqref>ClanMembers!$B$3:$B$52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48CA-4F14-8A61-32B60109FC0C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ClanMembers!$C$2</c15:sqref>
                        </c15:formulaRef>
                      </c:ext>
                    </c:extLst>
                    <c:strCache>
                      <c:ptCount val="1"/>
                      <c:pt idx="0">
                        <c:v>Level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  <a:sp3d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de-DE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ClanMembers!$B$2:$B$52</c15:sqref>
                        </c15:fullRef>
                        <c15:formulaRef>
                          <c15:sqref>ClanMembers!$B$3:$B$52</c15:sqref>
                        </c15:formulaRef>
                      </c:ext>
                    </c:extLst>
                    <c:strCache>
                      <c:ptCount val="50"/>
                      <c:pt idx="0">
                        <c:v>Talon</c:v>
                      </c:pt>
                      <c:pt idx="1">
                        <c:v>GoKU</c:v>
                      </c:pt>
                      <c:pt idx="2">
                        <c:v>rebuild</c:v>
                      </c:pt>
                      <c:pt idx="3">
                        <c:v>ttman</c:v>
                      </c:pt>
                      <c:pt idx="4">
                        <c:v>Momot</c:v>
                      </c:pt>
                      <c:pt idx="5">
                        <c:v>cer123</c:v>
                      </c:pt>
                      <c:pt idx="6">
                        <c:v>zingaraus</c:v>
                      </c:pt>
                      <c:pt idx="7">
                        <c:v>Trenta</c:v>
                      </c:pt>
                      <c:pt idx="8">
                        <c:v>MORDALF</c:v>
                      </c:pt>
                      <c:pt idx="9">
                        <c:v>hisroyalbadness</c:v>
                      </c:pt>
                      <c:pt idx="10">
                        <c:v>theflash123</c:v>
                      </c:pt>
                      <c:pt idx="11">
                        <c:v>KelvinLGW</c:v>
                      </c:pt>
                      <c:pt idx="12">
                        <c:v>CelloOr</c:v>
                      </c:pt>
                      <c:pt idx="13">
                        <c:v>Aranarth</c:v>
                      </c:pt>
                      <c:pt idx="14">
                        <c:v>LythBery</c:v>
                      </c:pt>
                      <c:pt idx="15">
                        <c:v>Giann0s</c:v>
                      </c:pt>
                      <c:pt idx="16">
                        <c:v>HARLEY8QUINN</c:v>
                      </c:pt>
                      <c:pt idx="17">
                        <c:v>Moschino9</c:v>
                      </c:pt>
                      <c:pt idx="18">
                        <c:v>SVA</c:v>
                      </c:pt>
                      <c:pt idx="19">
                        <c:v>AidMaiden</c:v>
                      </c:pt>
                      <c:pt idx="20">
                        <c:v>waaarghzomg</c:v>
                      </c:pt>
                      <c:pt idx="21">
                        <c:v>Kyuremate</c:v>
                      </c:pt>
                      <c:pt idx="22">
                        <c:v>jiggas</c:v>
                      </c:pt>
                      <c:pt idx="23">
                        <c:v>Nyxxie</c:v>
                      </c:pt>
                      <c:pt idx="24">
                        <c:v>sam1</c:v>
                      </c:pt>
                      <c:pt idx="25">
                        <c:v>Yakobus</c:v>
                      </c:pt>
                      <c:pt idx="26">
                        <c:v>Adya#</c:v>
                      </c:pt>
                      <c:pt idx="27">
                        <c:v>hliasmpinas</c:v>
                      </c:pt>
                      <c:pt idx="28">
                        <c:v>ksmnsns</c:v>
                      </c:pt>
                      <c:pt idx="29">
                        <c:v>iDaevart</c:v>
                      </c:pt>
                      <c:pt idx="30">
                        <c:v>Orkesh</c:v>
                      </c:pt>
                      <c:pt idx="31">
                        <c:v>Mlia</c:v>
                      </c:pt>
                      <c:pt idx="32">
                        <c:v>Stavr0sNorth</c:v>
                      </c:pt>
                      <c:pt idx="33">
                        <c:v>reQuim</c:v>
                      </c:pt>
                      <c:pt idx="34">
                        <c:v>rabitoon</c:v>
                      </c:pt>
                      <c:pt idx="35">
                        <c:v>easy%</c:v>
                      </c:pt>
                      <c:pt idx="36">
                        <c:v>Lumiel</c:v>
                      </c:pt>
                      <c:pt idx="37">
                        <c:v>INVICTUS1</c:v>
                      </c:pt>
                      <c:pt idx="38">
                        <c:v>Herp??s</c:v>
                      </c:pt>
                      <c:pt idx="39">
                        <c:v>Jyk78</c:v>
                      </c:pt>
                      <c:pt idx="40">
                        <c:v>CodeGirl20</c:v>
                      </c:pt>
                      <c:pt idx="41">
                        <c:v>Sleepyfoot</c:v>
                      </c:pt>
                      <c:pt idx="42">
                        <c:v>TheKingOfOrcs</c:v>
                      </c:pt>
                      <c:pt idx="43">
                        <c:v>Mikilon#</c:v>
                      </c:pt>
                      <c:pt idx="44">
                        <c:v>Mk</c:v>
                      </c:pt>
                      <c:pt idx="45">
                        <c:v>Hoofknife</c:v>
                      </c:pt>
                      <c:pt idx="46">
                        <c:v>demonlord#</c:v>
                      </c:pt>
                      <c:pt idx="47">
                        <c:v>Electromagnetic</c:v>
                      </c:pt>
                      <c:pt idx="48">
                        <c:v>Argeta</c:v>
                      </c:pt>
                      <c:pt idx="49">
                        <c:v>kaptanikolas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ClanMembers!$C$2:$C$52</c15:sqref>
                        </c15:fullRef>
                        <c15:formulaRef>
                          <c15:sqref>ClanMembers!$C$3:$C$52</c15:sqref>
                        </c15:formulaRef>
                      </c:ext>
                    </c:extLst>
                    <c:numCache>
                      <c:formatCode>0</c:formatCode>
                      <c:ptCount val="50"/>
                      <c:pt idx="0">
                        <c:v>999</c:v>
                      </c:pt>
                      <c:pt idx="1">
                        <c:v>999</c:v>
                      </c:pt>
                      <c:pt idx="2">
                        <c:v>640</c:v>
                      </c:pt>
                      <c:pt idx="3">
                        <c:v>633</c:v>
                      </c:pt>
                      <c:pt idx="4">
                        <c:v>628</c:v>
                      </c:pt>
                      <c:pt idx="5">
                        <c:v>625</c:v>
                      </c:pt>
                      <c:pt idx="6">
                        <c:v>625</c:v>
                      </c:pt>
                      <c:pt idx="7">
                        <c:v>625</c:v>
                      </c:pt>
                      <c:pt idx="8">
                        <c:v>625</c:v>
                      </c:pt>
                      <c:pt idx="9">
                        <c:v>624</c:v>
                      </c:pt>
                      <c:pt idx="10">
                        <c:v>620</c:v>
                      </c:pt>
                      <c:pt idx="11">
                        <c:v>620</c:v>
                      </c:pt>
                      <c:pt idx="12">
                        <c:v>620</c:v>
                      </c:pt>
                      <c:pt idx="13" formatCode="General">
                        <c:v>620</c:v>
                      </c:pt>
                      <c:pt idx="14">
                        <c:v>620</c:v>
                      </c:pt>
                      <c:pt idx="15">
                        <c:v>620</c:v>
                      </c:pt>
                      <c:pt idx="16">
                        <c:v>618</c:v>
                      </c:pt>
                      <c:pt idx="17">
                        <c:v>615</c:v>
                      </c:pt>
                      <c:pt idx="18">
                        <c:v>615</c:v>
                      </c:pt>
                      <c:pt idx="19">
                        <c:v>610</c:v>
                      </c:pt>
                      <c:pt idx="20">
                        <c:v>605</c:v>
                      </c:pt>
                      <c:pt idx="21">
                        <c:v>605</c:v>
                      </c:pt>
                      <c:pt idx="22">
                        <c:v>603</c:v>
                      </c:pt>
                      <c:pt idx="23">
                        <c:v>602</c:v>
                      </c:pt>
                      <c:pt idx="24">
                        <c:v>583</c:v>
                      </c:pt>
                      <c:pt idx="25">
                        <c:v>582</c:v>
                      </c:pt>
                      <c:pt idx="26">
                        <c:v>576</c:v>
                      </c:pt>
                      <c:pt idx="27" formatCode="General">
                        <c:v>562</c:v>
                      </c:pt>
                      <c:pt idx="28">
                        <c:v>553</c:v>
                      </c:pt>
                      <c:pt idx="29">
                        <c:v>544</c:v>
                      </c:pt>
                      <c:pt idx="30">
                        <c:v>538</c:v>
                      </c:pt>
                      <c:pt idx="31">
                        <c:v>526</c:v>
                      </c:pt>
                      <c:pt idx="32">
                        <c:v>512</c:v>
                      </c:pt>
                      <c:pt idx="33">
                        <c:v>504</c:v>
                      </c:pt>
                      <c:pt idx="34">
                        <c:v>488</c:v>
                      </c:pt>
                      <c:pt idx="35">
                        <c:v>479</c:v>
                      </c:pt>
                      <c:pt idx="36">
                        <c:v>475</c:v>
                      </c:pt>
                      <c:pt idx="37">
                        <c:v>464</c:v>
                      </c:pt>
                      <c:pt idx="38">
                        <c:v>463</c:v>
                      </c:pt>
                      <c:pt idx="39">
                        <c:v>456</c:v>
                      </c:pt>
                      <c:pt idx="40" formatCode="General">
                        <c:v>455</c:v>
                      </c:pt>
                      <c:pt idx="41">
                        <c:v>453</c:v>
                      </c:pt>
                      <c:pt idx="42">
                        <c:v>445</c:v>
                      </c:pt>
                      <c:pt idx="43">
                        <c:v>443</c:v>
                      </c:pt>
                      <c:pt idx="44">
                        <c:v>439</c:v>
                      </c:pt>
                      <c:pt idx="45">
                        <c:v>436</c:v>
                      </c:pt>
                      <c:pt idx="46">
                        <c:v>429</c:v>
                      </c:pt>
                      <c:pt idx="47">
                        <c:v>427</c:v>
                      </c:pt>
                      <c:pt idx="48">
                        <c:v>425</c:v>
                      </c:pt>
                      <c:pt idx="49">
                        <c:v>401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48CA-4F14-8A61-32B60109FC0C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ClanMembers!$D$2</c15:sqref>
                        </c15:formulaRef>
                      </c:ext>
                    </c:extLst>
                    <c:strCache>
                      <c:ptCount val="1"/>
                      <c:pt idx="0">
                        <c:v>.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  <a:sp3d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de-DE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ClanMembers!$B$2:$B$52</c15:sqref>
                        </c15:fullRef>
                        <c15:formulaRef>
                          <c15:sqref>ClanMembers!$B$3:$B$52</c15:sqref>
                        </c15:formulaRef>
                      </c:ext>
                    </c:extLst>
                    <c:strCache>
                      <c:ptCount val="50"/>
                      <c:pt idx="0">
                        <c:v>Talon</c:v>
                      </c:pt>
                      <c:pt idx="1">
                        <c:v>GoKU</c:v>
                      </c:pt>
                      <c:pt idx="2">
                        <c:v>rebuild</c:v>
                      </c:pt>
                      <c:pt idx="3">
                        <c:v>ttman</c:v>
                      </c:pt>
                      <c:pt idx="4">
                        <c:v>Momot</c:v>
                      </c:pt>
                      <c:pt idx="5">
                        <c:v>cer123</c:v>
                      </c:pt>
                      <c:pt idx="6">
                        <c:v>zingaraus</c:v>
                      </c:pt>
                      <c:pt idx="7">
                        <c:v>Trenta</c:v>
                      </c:pt>
                      <c:pt idx="8">
                        <c:v>MORDALF</c:v>
                      </c:pt>
                      <c:pt idx="9">
                        <c:v>hisroyalbadness</c:v>
                      </c:pt>
                      <c:pt idx="10">
                        <c:v>theflash123</c:v>
                      </c:pt>
                      <c:pt idx="11">
                        <c:v>KelvinLGW</c:v>
                      </c:pt>
                      <c:pt idx="12">
                        <c:v>CelloOr</c:v>
                      </c:pt>
                      <c:pt idx="13">
                        <c:v>Aranarth</c:v>
                      </c:pt>
                      <c:pt idx="14">
                        <c:v>LythBery</c:v>
                      </c:pt>
                      <c:pt idx="15">
                        <c:v>Giann0s</c:v>
                      </c:pt>
                      <c:pt idx="16">
                        <c:v>HARLEY8QUINN</c:v>
                      </c:pt>
                      <c:pt idx="17">
                        <c:v>Moschino9</c:v>
                      </c:pt>
                      <c:pt idx="18">
                        <c:v>SVA</c:v>
                      </c:pt>
                      <c:pt idx="19">
                        <c:v>AidMaiden</c:v>
                      </c:pt>
                      <c:pt idx="20">
                        <c:v>waaarghzomg</c:v>
                      </c:pt>
                      <c:pt idx="21">
                        <c:v>Kyuremate</c:v>
                      </c:pt>
                      <c:pt idx="22">
                        <c:v>jiggas</c:v>
                      </c:pt>
                      <c:pt idx="23">
                        <c:v>Nyxxie</c:v>
                      </c:pt>
                      <c:pt idx="24">
                        <c:v>sam1</c:v>
                      </c:pt>
                      <c:pt idx="25">
                        <c:v>Yakobus</c:v>
                      </c:pt>
                      <c:pt idx="26">
                        <c:v>Adya#</c:v>
                      </c:pt>
                      <c:pt idx="27">
                        <c:v>hliasmpinas</c:v>
                      </c:pt>
                      <c:pt idx="28">
                        <c:v>ksmnsns</c:v>
                      </c:pt>
                      <c:pt idx="29">
                        <c:v>iDaevart</c:v>
                      </c:pt>
                      <c:pt idx="30">
                        <c:v>Orkesh</c:v>
                      </c:pt>
                      <c:pt idx="31">
                        <c:v>Mlia</c:v>
                      </c:pt>
                      <c:pt idx="32">
                        <c:v>Stavr0sNorth</c:v>
                      </c:pt>
                      <c:pt idx="33">
                        <c:v>reQuim</c:v>
                      </c:pt>
                      <c:pt idx="34">
                        <c:v>rabitoon</c:v>
                      </c:pt>
                      <c:pt idx="35">
                        <c:v>easy%</c:v>
                      </c:pt>
                      <c:pt idx="36">
                        <c:v>Lumiel</c:v>
                      </c:pt>
                      <c:pt idx="37">
                        <c:v>INVICTUS1</c:v>
                      </c:pt>
                      <c:pt idx="38">
                        <c:v>Herp??s</c:v>
                      </c:pt>
                      <c:pt idx="39">
                        <c:v>Jyk78</c:v>
                      </c:pt>
                      <c:pt idx="40">
                        <c:v>CodeGirl20</c:v>
                      </c:pt>
                      <c:pt idx="41">
                        <c:v>Sleepyfoot</c:v>
                      </c:pt>
                      <c:pt idx="42">
                        <c:v>TheKingOfOrcs</c:v>
                      </c:pt>
                      <c:pt idx="43">
                        <c:v>Mikilon#</c:v>
                      </c:pt>
                      <c:pt idx="44">
                        <c:v>Mk</c:v>
                      </c:pt>
                      <c:pt idx="45">
                        <c:v>Hoofknife</c:v>
                      </c:pt>
                      <c:pt idx="46">
                        <c:v>demonlord#</c:v>
                      </c:pt>
                      <c:pt idx="47">
                        <c:v>Electromagnetic</c:v>
                      </c:pt>
                      <c:pt idx="48">
                        <c:v>Argeta</c:v>
                      </c:pt>
                      <c:pt idx="49">
                        <c:v>kaptanikolas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ClanMembers!$D$2:$D$52</c15:sqref>
                        </c15:fullRef>
                        <c15:formulaRef>
                          <c15:sqref>ClanMembers!$D$3:$D$52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0">
                        <c:v>163</c:v>
                      </c:pt>
                      <c:pt idx="1">
                        <c:v>73</c:v>
                      </c:pt>
                      <c:pt idx="2">
                        <c:v>131</c:v>
                      </c:pt>
                      <c:pt idx="3">
                        <c:v>102</c:v>
                      </c:pt>
                      <c:pt idx="4">
                        <c:v>14</c:v>
                      </c:pt>
                      <c:pt idx="5">
                        <c:v>11</c:v>
                      </c:pt>
                      <c:pt idx="6">
                        <c:v>75</c:v>
                      </c:pt>
                      <c:pt idx="7">
                        <c:v>163</c:v>
                      </c:pt>
                      <c:pt idx="8">
                        <c:v>75</c:v>
                      </c:pt>
                      <c:pt idx="9">
                        <c:v>75</c:v>
                      </c:pt>
                      <c:pt idx="10">
                        <c:v>15</c:v>
                      </c:pt>
                      <c:pt idx="11">
                        <c:v>72</c:v>
                      </c:pt>
                      <c:pt idx="12">
                        <c:v>74</c:v>
                      </c:pt>
                      <c:pt idx="13">
                        <c:v>15</c:v>
                      </c:pt>
                      <c:pt idx="14">
                        <c:v>72</c:v>
                      </c:pt>
                      <c:pt idx="15">
                        <c:v>73</c:v>
                      </c:pt>
                      <c:pt idx="16">
                        <c:v>14</c:v>
                      </c:pt>
                      <c:pt idx="17">
                        <c:v>14</c:v>
                      </c:pt>
                      <c:pt idx="18">
                        <c:v>12</c:v>
                      </c:pt>
                      <c:pt idx="19">
                        <c:v>46</c:v>
                      </c:pt>
                      <c:pt idx="20">
                        <c:v>102</c:v>
                      </c:pt>
                      <c:pt idx="21">
                        <c:v>45</c:v>
                      </c:pt>
                      <c:pt idx="22">
                        <c:v>101</c:v>
                      </c:pt>
                      <c:pt idx="23">
                        <c:v>102</c:v>
                      </c:pt>
                      <c:pt idx="24">
                        <c:v>73</c:v>
                      </c:pt>
                      <c:pt idx="25">
                        <c:v>12</c:v>
                      </c:pt>
                      <c:pt idx="26">
                        <c:v>44</c:v>
                      </c:pt>
                      <c:pt idx="27">
                        <c:v>76</c:v>
                      </c:pt>
                      <c:pt idx="28">
                        <c:v>12</c:v>
                      </c:pt>
                      <c:pt idx="29">
                        <c:v>71</c:v>
                      </c:pt>
                      <c:pt idx="30">
                        <c:v>44</c:v>
                      </c:pt>
                      <c:pt idx="31">
                        <c:v>163</c:v>
                      </c:pt>
                      <c:pt idx="32">
                        <c:v>74</c:v>
                      </c:pt>
                      <c:pt idx="33">
                        <c:v>14</c:v>
                      </c:pt>
                      <c:pt idx="34">
                        <c:v>72</c:v>
                      </c:pt>
                      <c:pt idx="35">
                        <c:v>104</c:v>
                      </c:pt>
                      <c:pt idx="36">
                        <c:v>106</c:v>
                      </c:pt>
                      <c:pt idx="37">
                        <c:v>11</c:v>
                      </c:pt>
                      <c:pt idx="38">
                        <c:v>11</c:v>
                      </c:pt>
                      <c:pt idx="39">
                        <c:v>13</c:v>
                      </c:pt>
                      <c:pt idx="40">
                        <c:v>161</c:v>
                      </c:pt>
                      <c:pt idx="41">
                        <c:v>14</c:v>
                      </c:pt>
                      <c:pt idx="42">
                        <c:v>135</c:v>
                      </c:pt>
                      <c:pt idx="43">
                        <c:v>72</c:v>
                      </c:pt>
                      <c:pt idx="44">
                        <c:v>75</c:v>
                      </c:pt>
                      <c:pt idx="45">
                        <c:v>135</c:v>
                      </c:pt>
                      <c:pt idx="46">
                        <c:v>71</c:v>
                      </c:pt>
                      <c:pt idx="47">
                        <c:v>14</c:v>
                      </c:pt>
                      <c:pt idx="48">
                        <c:v>103</c:v>
                      </c:pt>
                      <c:pt idx="49">
                        <c:v>73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48CA-4F14-8A61-32B60109FC0C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ClanMembers!$E$2</c15:sqref>
                        </c15:formulaRef>
                      </c:ext>
                    </c:extLst>
                    <c:strCache>
                      <c:ptCount val="1"/>
                      <c:pt idx="0">
                        <c:v>Class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  <a:sp3d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de-DE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ClanMembers!$B$2:$B$52</c15:sqref>
                        </c15:fullRef>
                        <c15:formulaRef>
                          <c15:sqref>ClanMembers!$B$3:$B$52</c15:sqref>
                        </c15:formulaRef>
                      </c:ext>
                    </c:extLst>
                    <c:strCache>
                      <c:ptCount val="50"/>
                      <c:pt idx="0">
                        <c:v>Talon</c:v>
                      </c:pt>
                      <c:pt idx="1">
                        <c:v>GoKU</c:v>
                      </c:pt>
                      <c:pt idx="2">
                        <c:v>rebuild</c:v>
                      </c:pt>
                      <c:pt idx="3">
                        <c:v>ttman</c:v>
                      </c:pt>
                      <c:pt idx="4">
                        <c:v>Momot</c:v>
                      </c:pt>
                      <c:pt idx="5">
                        <c:v>cer123</c:v>
                      </c:pt>
                      <c:pt idx="6">
                        <c:v>zingaraus</c:v>
                      </c:pt>
                      <c:pt idx="7">
                        <c:v>Trenta</c:v>
                      </c:pt>
                      <c:pt idx="8">
                        <c:v>MORDALF</c:v>
                      </c:pt>
                      <c:pt idx="9">
                        <c:v>hisroyalbadness</c:v>
                      </c:pt>
                      <c:pt idx="10">
                        <c:v>theflash123</c:v>
                      </c:pt>
                      <c:pt idx="11">
                        <c:v>KelvinLGW</c:v>
                      </c:pt>
                      <c:pt idx="12">
                        <c:v>CelloOr</c:v>
                      </c:pt>
                      <c:pt idx="13">
                        <c:v>Aranarth</c:v>
                      </c:pt>
                      <c:pt idx="14">
                        <c:v>LythBery</c:v>
                      </c:pt>
                      <c:pt idx="15">
                        <c:v>Giann0s</c:v>
                      </c:pt>
                      <c:pt idx="16">
                        <c:v>HARLEY8QUINN</c:v>
                      </c:pt>
                      <c:pt idx="17">
                        <c:v>Moschino9</c:v>
                      </c:pt>
                      <c:pt idx="18">
                        <c:v>SVA</c:v>
                      </c:pt>
                      <c:pt idx="19">
                        <c:v>AidMaiden</c:v>
                      </c:pt>
                      <c:pt idx="20">
                        <c:v>waaarghzomg</c:v>
                      </c:pt>
                      <c:pt idx="21">
                        <c:v>Kyuremate</c:v>
                      </c:pt>
                      <c:pt idx="22">
                        <c:v>jiggas</c:v>
                      </c:pt>
                      <c:pt idx="23">
                        <c:v>Nyxxie</c:v>
                      </c:pt>
                      <c:pt idx="24">
                        <c:v>sam1</c:v>
                      </c:pt>
                      <c:pt idx="25">
                        <c:v>Yakobus</c:v>
                      </c:pt>
                      <c:pt idx="26">
                        <c:v>Adya#</c:v>
                      </c:pt>
                      <c:pt idx="27">
                        <c:v>hliasmpinas</c:v>
                      </c:pt>
                      <c:pt idx="28">
                        <c:v>ksmnsns</c:v>
                      </c:pt>
                      <c:pt idx="29">
                        <c:v>iDaevart</c:v>
                      </c:pt>
                      <c:pt idx="30">
                        <c:v>Orkesh</c:v>
                      </c:pt>
                      <c:pt idx="31">
                        <c:v>Mlia</c:v>
                      </c:pt>
                      <c:pt idx="32">
                        <c:v>Stavr0sNorth</c:v>
                      </c:pt>
                      <c:pt idx="33">
                        <c:v>reQuim</c:v>
                      </c:pt>
                      <c:pt idx="34">
                        <c:v>rabitoon</c:v>
                      </c:pt>
                      <c:pt idx="35">
                        <c:v>easy%</c:v>
                      </c:pt>
                      <c:pt idx="36">
                        <c:v>Lumiel</c:v>
                      </c:pt>
                      <c:pt idx="37">
                        <c:v>INVICTUS1</c:v>
                      </c:pt>
                      <c:pt idx="38">
                        <c:v>Herp??s</c:v>
                      </c:pt>
                      <c:pt idx="39">
                        <c:v>Jyk78</c:v>
                      </c:pt>
                      <c:pt idx="40">
                        <c:v>CodeGirl20</c:v>
                      </c:pt>
                      <c:pt idx="41">
                        <c:v>Sleepyfoot</c:v>
                      </c:pt>
                      <c:pt idx="42">
                        <c:v>TheKingOfOrcs</c:v>
                      </c:pt>
                      <c:pt idx="43">
                        <c:v>Mikilon#</c:v>
                      </c:pt>
                      <c:pt idx="44">
                        <c:v>Mk</c:v>
                      </c:pt>
                      <c:pt idx="45">
                        <c:v>Hoofknife</c:v>
                      </c:pt>
                      <c:pt idx="46">
                        <c:v>demonlord#</c:v>
                      </c:pt>
                      <c:pt idx="47">
                        <c:v>Electromagnetic</c:v>
                      </c:pt>
                      <c:pt idx="48">
                        <c:v>Argeta</c:v>
                      </c:pt>
                      <c:pt idx="49">
                        <c:v>kaptanikolas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ClanMembers!$E$2:$E$52</c15:sqref>
                        </c15:fullRef>
                        <c15:formulaRef>
                          <c15:sqref>ClanMembers!$E$3:$E$52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48CA-4F14-8A61-32B60109FC0C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ClanMembers!$F$2</c15:sqref>
                        </c15:formulaRef>
                      </c:ext>
                    </c:extLst>
                    <c:strCache>
                      <c:ptCount val="1"/>
                      <c:pt idx="0">
                        <c:v>Rank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  <a:sp3d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de-DE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ClanMembers!$B$2:$B$52</c15:sqref>
                        </c15:fullRef>
                        <c15:formulaRef>
                          <c15:sqref>ClanMembers!$B$3:$B$52</c15:sqref>
                        </c15:formulaRef>
                      </c:ext>
                    </c:extLst>
                    <c:strCache>
                      <c:ptCount val="50"/>
                      <c:pt idx="0">
                        <c:v>Talon</c:v>
                      </c:pt>
                      <c:pt idx="1">
                        <c:v>GoKU</c:v>
                      </c:pt>
                      <c:pt idx="2">
                        <c:v>rebuild</c:v>
                      </c:pt>
                      <c:pt idx="3">
                        <c:v>ttman</c:v>
                      </c:pt>
                      <c:pt idx="4">
                        <c:v>Momot</c:v>
                      </c:pt>
                      <c:pt idx="5">
                        <c:v>cer123</c:v>
                      </c:pt>
                      <c:pt idx="6">
                        <c:v>zingaraus</c:v>
                      </c:pt>
                      <c:pt idx="7">
                        <c:v>Trenta</c:v>
                      </c:pt>
                      <c:pt idx="8">
                        <c:v>MORDALF</c:v>
                      </c:pt>
                      <c:pt idx="9">
                        <c:v>hisroyalbadness</c:v>
                      </c:pt>
                      <c:pt idx="10">
                        <c:v>theflash123</c:v>
                      </c:pt>
                      <c:pt idx="11">
                        <c:v>KelvinLGW</c:v>
                      </c:pt>
                      <c:pt idx="12">
                        <c:v>CelloOr</c:v>
                      </c:pt>
                      <c:pt idx="13">
                        <c:v>Aranarth</c:v>
                      </c:pt>
                      <c:pt idx="14">
                        <c:v>LythBery</c:v>
                      </c:pt>
                      <c:pt idx="15">
                        <c:v>Giann0s</c:v>
                      </c:pt>
                      <c:pt idx="16">
                        <c:v>HARLEY8QUINN</c:v>
                      </c:pt>
                      <c:pt idx="17">
                        <c:v>Moschino9</c:v>
                      </c:pt>
                      <c:pt idx="18">
                        <c:v>SVA</c:v>
                      </c:pt>
                      <c:pt idx="19">
                        <c:v>AidMaiden</c:v>
                      </c:pt>
                      <c:pt idx="20">
                        <c:v>waaarghzomg</c:v>
                      </c:pt>
                      <c:pt idx="21">
                        <c:v>Kyuremate</c:v>
                      </c:pt>
                      <c:pt idx="22">
                        <c:v>jiggas</c:v>
                      </c:pt>
                      <c:pt idx="23">
                        <c:v>Nyxxie</c:v>
                      </c:pt>
                      <c:pt idx="24">
                        <c:v>sam1</c:v>
                      </c:pt>
                      <c:pt idx="25">
                        <c:v>Yakobus</c:v>
                      </c:pt>
                      <c:pt idx="26">
                        <c:v>Adya#</c:v>
                      </c:pt>
                      <c:pt idx="27">
                        <c:v>hliasmpinas</c:v>
                      </c:pt>
                      <c:pt idx="28">
                        <c:v>ksmnsns</c:v>
                      </c:pt>
                      <c:pt idx="29">
                        <c:v>iDaevart</c:v>
                      </c:pt>
                      <c:pt idx="30">
                        <c:v>Orkesh</c:v>
                      </c:pt>
                      <c:pt idx="31">
                        <c:v>Mlia</c:v>
                      </c:pt>
                      <c:pt idx="32">
                        <c:v>Stavr0sNorth</c:v>
                      </c:pt>
                      <c:pt idx="33">
                        <c:v>reQuim</c:v>
                      </c:pt>
                      <c:pt idx="34">
                        <c:v>rabitoon</c:v>
                      </c:pt>
                      <c:pt idx="35">
                        <c:v>easy%</c:v>
                      </c:pt>
                      <c:pt idx="36">
                        <c:v>Lumiel</c:v>
                      </c:pt>
                      <c:pt idx="37">
                        <c:v>INVICTUS1</c:v>
                      </c:pt>
                      <c:pt idx="38">
                        <c:v>Herp??s</c:v>
                      </c:pt>
                      <c:pt idx="39">
                        <c:v>Jyk78</c:v>
                      </c:pt>
                      <c:pt idx="40">
                        <c:v>CodeGirl20</c:v>
                      </c:pt>
                      <c:pt idx="41">
                        <c:v>Sleepyfoot</c:v>
                      </c:pt>
                      <c:pt idx="42">
                        <c:v>TheKingOfOrcs</c:v>
                      </c:pt>
                      <c:pt idx="43">
                        <c:v>Mikilon#</c:v>
                      </c:pt>
                      <c:pt idx="44">
                        <c:v>Mk</c:v>
                      </c:pt>
                      <c:pt idx="45">
                        <c:v>Hoofknife</c:v>
                      </c:pt>
                      <c:pt idx="46">
                        <c:v>demonlord#</c:v>
                      </c:pt>
                      <c:pt idx="47">
                        <c:v>Electromagnetic</c:v>
                      </c:pt>
                      <c:pt idx="48">
                        <c:v>Argeta</c:v>
                      </c:pt>
                      <c:pt idx="49">
                        <c:v>kaptanikolas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ClanMembers!$F$2:$F$52</c15:sqref>
                        </c15:fullRef>
                        <c15:formulaRef>
                          <c15:sqref>ClanMembers!$F$3:$F$52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48CA-4F14-8A61-32B60109FC0C}"/>
                  </c:ext>
                </c:extLst>
              </c15:ser>
            </c15:filteredBarSeries>
          </c:ext>
        </c:extLst>
      </c:bar3DChart>
      <c:catAx>
        <c:axId val="686777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3900000" spcFirstLastPara="1" vertOverflow="ellipsis" wrap="square" anchor="ctr" anchorCtr="1"/>
          <a:lstStyle/>
          <a:p>
            <a:pPr>
              <a:defRPr sz="11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de-DE"/>
          </a:p>
        </c:txPr>
        <c:crossAx val="686778608"/>
        <c:crosses val="autoZero"/>
        <c:auto val="1"/>
        <c:lblAlgn val="ctr"/>
        <c:lblOffset val="20"/>
        <c:tickLblSkip val="1"/>
        <c:noMultiLvlLbl val="0"/>
      </c:catAx>
      <c:valAx>
        <c:axId val="686778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86777296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0712015560028753"/>
          <c:y val="4.2430393379801506E-2"/>
          <c:w val="0.19824507296855939"/>
          <c:h val="8.54762887663183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ln>
                <a:solidFill>
                  <a:schemeClr val="accent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[HF-ClanManager.xlsm]hChart_ClassDistribution!PivotTable2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total class distribution</a:t>
            </a:r>
          </a:p>
        </c:rich>
      </c:tx>
      <c:layout>
        <c:manualLayout>
          <c:xMode val="edge"/>
          <c:yMode val="edge"/>
          <c:x val="0.30595672551773612"/>
          <c:y val="8.4318331845902538E-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3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3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4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4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4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4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4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4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4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4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4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4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5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5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5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5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5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5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5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5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5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5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</c:pivotFmts>
    <c:plotArea>
      <c:layout>
        <c:manualLayout>
          <c:layoutTarget val="inner"/>
          <c:xMode val="edge"/>
          <c:yMode val="edge"/>
          <c:x val="6.6934283424547783E-2"/>
          <c:y val="0.10557381886891762"/>
          <c:w val="0.92125696552764702"/>
          <c:h val="0.5895957289723073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hChart_ClassDistribution!$B$3</c:f>
              <c:strCache>
                <c:ptCount val="1"/>
                <c:pt idx="0">
                  <c:v>Ergebnis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hChart_ClassDistribution!$A$4:$A$27</c:f>
              <c:strCache>
                <c:ptCount val="23"/>
                <c:pt idx="0">
                  <c:v>Adventurer</c:v>
                </c:pt>
                <c:pt idx="1">
                  <c:v>Archmage</c:v>
                </c:pt>
                <c:pt idx="2">
                  <c:v>Bounty Hunter</c:v>
                </c:pt>
                <c:pt idx="3">
                  <c:v>Destroyer</c:v>
                </c:pt>
                <c:pt idx="4">
                  <c:v>Doombringer</c:v>
                </c:pt>
                <c:pt idx="5">
                  <c:v>Dreadnought</c:v>
                </c:pt>
                <c:pt idx="6">
                  <c:v>Eternal Guardian</c:v>
                </c:pt>
                <c:pt idx="7">
                  <c:v>Eva`s Saint</c:v>
                </c:pt>
                <c:pt idx="8">
                  <c:v>Ghost Hunter</c:v>
                </c:pt>
                <c:pt idx="9">
                  <c:v>Ghost Sentinel</c:v>
                </c:pt>
                <c:pt idx="10">
                  <c:v>Master Sage</c:v>
                </c:pt>
                <c:pt idx="11">
                  <c:v>Moonlight Sentinel</c:v>
                </c:pt>
                <c:pt idx="12">
                  <c:v>Mystic Muse</c:v>
                </c:pt>
                <c:pt idx="13">
                  <c:v>Phoenix Knight</c:v>
                </c:pt>
                <c:pt idx="14">
                  <c:v>Sagittarius</c:v>
                </c:pt>
                <c:pt idx="15">
                  <c:v>Shillien Saint</c:v>
                </c:pt>
                <c:pt idx="16">
                  <c:v>Shillien Templar</c:v>
                </c:pt>
                <c:pt idx="17">
                  <c:v>Spectral Dancer</c:v>
                </c:pt>
                <c:pt idx="18">
                  <c:v>Storm Screamer</c:v>
                </c:pt>
                <c:pt idx="19">
                  <c:v>Trickster</c:v>
                </c:pt>
                <c:pt idx="20">
                  <c:v>War Slayer</c:v>
                </c:pt>
                <c:pt idx="21">
                  <c:v>Warcryer</c:v>
                </c:pt>
                <c:pt idx="22">
                  <c:v>Warsmith</c:v>
                </c:pt>
              </c:strCache>
            </c:strRef>
          </c:cat>
          <c:val>
            <c:numRef>
              <c:f>hChart_ClassDistribution!$B$4:$B$27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3</c:v>
                </c:pt>
                <c:pt idx="14">
                  <c:v>6</c:v>
                </c:pt>
                <c:pt idx="15">
                  <c:v>1</c:v>
                </c:pt>
                <c:pt idx="16">
                  <c:v>2</c:v>
                </c:pt>
                <c:pt idx="17">
                  <c:v>4</c:v>
                </c:pt>
                <c:pt idx="18">
                  <c:v>4</c:v>
                </c:pt>
                <c:pt idx="19">
                  <c:v>3</c:v>
                </c:pt>
                <c:pt idx="20">
                  <c:v>3</c:v>
                </c:pt>
                <c:pt idx="21">
                  <c:v>2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32F3-4A1C-A90D-B586670A22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1498129167"/>
        <c:axId val="1498127919"/>
      </c:barChart>
      <c:catAx>
        <c:axId val="149812916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98127919"/>
        <c:crosses val="autoZero"/>
        <c:auto val="1"/>
        <c:lblAlgn val="ctr"/>
        <c:lblOffset val="20"/>
        <c:noMultiLvlLbl val="0"/>
      </c:catAx>
      <c:valAx>
        <c:axId val="149812791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98129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https://lineageii.gcdn.netmarble.com/lineageii/KO/Forum/Profile/Class/73.png" TargetMode="External"/><Relationship Id="rId13" Type="http://schemas.openxmlformats.org/officeDocument/2006/relationships/image" Target="https://lineageii.gcdn.netmarble.com/lineageii/KO/Forum/Profile/Class/101.png" TargetMode="External"/><Relationship Id="rId18" Type="http://schemas.openxmlformats.org/officeDocument/2006/relationships/image" Target="https://lineageii.gcdn.netmarble.com/lineageii/KO/Forum/Profile/Class/44.png" TargetMode="External"/><Relationship Id="rId3" Type="http://schemas.openxmlformats.org/officeDocument/2006/relationships/image" Target="https://lineageii.gcdn.netmarble.com/lineageii/KO/Forum/Profile/Class/72.png" TargetMode="External"/><Relationship Id="rId21" Type="http://schemas.openxmlformats.org/officeDocument/2006/relationships/image" Target="https://lineageii.gcdn.netmarble.com/lineageii/KO/Forum/Profile/Class/76.png" TargetMode="External"/><Relationship Id="rId7" Type="http://schemas.openxmlformats.org/officeDocument/2006/relationships/image" Target="https://lineageii.gcdn.netmarble.com/lineageii/KO/Forum/Profile/Class/106.png" TargetMode="External"/><Relationship Id="rId12" Type="http://schemas.openxmlformats.org/officeDocument/2006/relationships/image" Target="https://lineageii.gcdn.netmarble.com/lineageii/KO/Forum/Profile/Class/135.png" TargetMode="External"/><Relationship Id="rId17" Type="http://schemas.openxmlformats.org/officeDocument/2006/relationships/image" Target="https://lineageii.gcdn.netmarble.com/lineageii/KO/Forum/Profile/Class/102.png" TargetMode="External"/><Relationship Id="rId2" Type="http://schemas.openxmlformats.org/officeDocument/2006/relationships/image" Target="https://lineageii.gcdn.netmarble.com/lineageii/KO/Forum/Profile/Class/15.png" TargetMode="External"/><Relationship Id="rId16" Type="http://schemas.openxmlformats.org/officeDocument/2006/relationships/image" Target="https://lineageii.gcdn.netmarble.com/lineageii/KO/Forum/Profile/Class/13.png" TargetMode="External"/><Relationship Id="rId20" Type="http://schemas.openxmlformats.org/officeDocument/2006/relationships/image" Target="https://lineageii.gcdn.netmarble.com/lineageii/KO/Forum/Profile/Class/75.png" TargetMode="External"/><Relationship Id="rId1" Type="http://schemas.openxmlformats.org/officeDocument/2006/relationships/chart" Target="../charts/chart1.xml"/><Relationship Id="rId6" Type="http://schemas.openxmlformats.org/officeDocument/2006/relationships/image" Target="https://lineageii.gcdn.netmarble.com/lineageii/KO/Forum/Profile/Class/71.png" TargetMode="External"/><Relationship Id="rId11" Type="http://schemas.openxmlformats.org/officeDocument/2006/relationships/image" Target="https://lineageii.gcdn.netmarble.com/lineageii/KO/Forum/Profile/Class/163.png" TargetMode="External"/><Relationship Id="rId24" Type="http://schemas.openxmlformats.org/officeDocument/2006/relationships/image" Target="https://lineageii.gcdn.netmarble.com/lineageii/KO/Forum/Profile/Class/131.png" TargetMode="External"/><Relationship Id="rId5" Type="http://schemas.openxmlformats.org/officeDocument/2006/relationships/image" Target="https://lineageii.gcdn.netmarble.com/lineageii/KO/Forum/Profile/Class/11.png" TargetMode="External"/><Relationship Id="rId15" Type="http://schemas.openxmlformats.org/officeDocument/2006/relationships/image" Target="https://lineageii.gcdn.netmarble.com/lineageii/KO/Forum/Profile/Class/74.png" TargetMode="External"/><Relationship Id="rId23" Type="http://schemas.openxmlformats.org/officeDocument/2006/relationships/image" Target="https://lineageii.gcdn.netmarble.com/lineageii/KO/Forum/Profile/Class/161.png" TargetMode="External"/><Relationship Id="rId10" Type="http://schemas.openxmlformats.org/officeDocument/2006/relationships/image" Target="https://lineageii.gcdn.netmarble.com/lineageii/KO/Forum/Profile/Class/46.png" TargetMode="External"/><Relationship Id="rId19" Type="http://schemas.openxmlformats.org/officeDocument/2006/relationships/image" Target="https://lineageii.gcdn.netmarble.com/lineageii/KO/Forum/Profile/Class/45.png" TargetMode="External"/><Relationship Id="rId4" Type="http://schemas.openxmlformats.org/officeDocument/2006/relationships/image" Target="https://lineageii.gcdn.netmarble.com/lineageii/KO/Forum/Profile/Class/104.png" TargetMode="External"/><Relationship Id="rId9" Type="http://schemas.openxmlformats.org/officeDocument/2006/relationships/image" Target="https://lineageii.gcdn.netmarble.com/lineageii/KO/Forum/Profile/Class/14.png" TargetMode="External"/><Relationship Id="rId14" Type="http://schemas.openxmlformats.org/officeDocument/2006/relationships/image" Target="https://lineageii.gcdn.netmarble.com/lineageii/KO/Forum/Profile/Class/12.png" TargetMode="External"/><Relationship Id="rId22" Type="http://schemas.openxmlformats.org/officeDocument/2006/relationships/image" Target="https://lineageii.gcdn.netmarble.com/lineageii/KO/Forum/Profile/Class/103.png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141316</xdr:colOff>
      <xdr:row>3</xdr:row>
      <xdr:rowOff>123907</xdr:rowOff>
    </xdr:from>
    <xdr:to>
      <xdr:col>16</xdr:col>
      <xdr:colOff>606829</xdr:colOff>
      <xdr:row>17</xdr:row>
      <xdr:rowOff>38301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9626" b="99465" l="4536" r="90000">
                      <a14:foregroundMark x1="10103" y1="48128" x2="9794" y2="49198"/>
                      <a14:foregroundMark x1="8351" y1="43316" x2="8351" y2="43316"/>
                      <a14:foregroundMark x1="4742" y1="48396" x2="4742" y2="48396"/>
                      <a14:foregroundMark x1="10825" y1="93316" x2="10825" y2="93316"/>
                      <a14:foregroundMark x1="16186" y1="99465" x2="16186" y2="99465"/>
                      <a14:foregroundMark x1="6598" y1="98128" x2="6598" y2="98128"/>
                      <a14:foregroundMark x1="31546" y1="48128" x2="30825" y2="47861"/>
                      <a14:foregroundMark x1="30412" y1="35294" x2="30412" y2="35294"/>
                      <a14:foregroundMark x1="29485" y1="35294" x2="29485" y2="35294"/>
                      <a14:foregroundMark x1="29485" y1="64439" x2="29485" y2="64439"/>
                      <a14:foregroundMark x1="28866" y1="57219" x2="29175" y2="57219"/>
                      <a14:foregroundMark x1="29691" y1="59626" x2="29691" y2="59626"/>
                      <a14:foregroundMark x1="30206" y1="62299" x2="30722" y2="62299"/>
                      <a14:foregroundMark x1="30722" y1="33155" x2="30722" y2="33155"/>
                      <a14:foregroundMark x1="35361" y1="50000" x2="35361" y2="50000"/>
                      <a14:foregroundMark x1="38351" y1="49465" x2="39175" y2="47059"/>
                      <a14:foregroundMark x1="38866" y1="45187" x2="38866" y2="45187"/>
                      <a14:foregroundMark x1="37010" y1="40642" x2="37526" y2="40642"/>
                      <a14:foregroundMark x1="41546" y1="38503" x2="41546" y2="38503"/>
                      <a14:foregroundMark x1="41340" y1="35294" x2="41340" y2="35294"/>
                      <a14:foregroundMark x1="43093" y1="37968" x2="43093" y2="37968"/>
                      <a14:foregroundMark x1="42887" y1="39572" x2="44227" y2="39037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057505" y="697485"/>
          <a:ext cx="7381702" cy="25910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66502</xdr:colOff>
          <xdr:row>0</xdr:row>
          <xdr:rowOff>58189</xdr:rowOff>
        </xdr:from>
        <xdr:to>
          <xdr:col>8</xdr:col>
          <xdr:colOff>3059084</xdr:colOff>
          <xdr:row>0</xdr:row>
          <xdr:rowOff>656705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90000" rIns="90000" bIns="90000" anchor="ctr" upright="1"/>
            <a:lstStyle/>
            <a:p>
              <a:pPr algn="ctr" rtl="0">
                <a:defRPr sz="1000"/>
              </a:pPr>
              <a:r>
                <a:rPr lang="de-DE" sz="2600" b="0" i="0" u="none" strike="noStrike" baseline="0">
                  <a:solidFill>
                    <a:srgbClr val="008080"/>
                  </a:solidFill>
                  <a:latin typeface="Bahnschrift SemiBold Condensed"/>
                </a:rPr>
                <a:t>Parse all Clan Members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176036</xdr:colOff>
      <xdr:row>3</xdr:row>
      <xdr:rowOff>177010</xdr:rowOff>
    </xdr:from>
    <xdr:to>
      <xdr:col>12</xdr:col>
      <xdr:colOff>8313</xdr:colOff>
      <xdr:row>19</xdr:row>
      <xdr:rowOff>230821</xdr:rowOff>
    </xdr:to>
    <xdr:graphicFrame macro="">
      <xdr:nvGraphicFramePr>
        <xdr:cNvPr id="2262" name="Diagramm 2261">
          <a:extLst>
            <a:ext uri="{FF2B5EF4-FFF2-40B4-BE49-F238E27FC236}">
              <a16:creationId xmlns:a16="http://schemas.microsoft.com/office/drawing/2014/main" id="{00000000-0008-0000-0100-0000D608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pic>
      <xdr:nvPicPr>
        <xdr:cNvPr id="2265" name="classIcon">
          <a:extLst>
            <a:ext uri="{FF2B5EF4-FFF2-40B4-BE49-F238E27FC236}">
              <a16:creationId xmlns:a16="http://schemas.microsoft.com/office/drawing/2014/main" id="{00000000-0008-0000-0100-0000D9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60567" y="1205345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pic>
      <xdr:nvPicPr>
        <xdr:cNvPr id="2268" name="classIcon">
          <a:extLst>
            <a:ext uri="{FF2B5EF4-FFF2-40B4-BE49-F238E27FC236}">
              <a16:creationId xmlns:a16="http://schemas.microsoft.com/office/drawing/2014/main" id="{00000000-0008-0000-0100-0000DC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60567" y="1579418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pic>
      <xdr:nvPicPr>
        <xdr:cNvPr id="2270" name="classIcon">
          <a:extLst>
            <a:ext uri="{FF2B5EF4-FFF2-40B4-BE49-F238E27FC236}">
              <a16:creationId xmlns:a16="http://schemas.microsoft.com/office/drawing/2014/main" id="{00000000-0008-0000-0100-0000DE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60567" y="1953491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5</xdr:row>
      <xdr:rowOff>0</xdr:rowOff>
    </xdr:from>
    <xdr:to>
      <xdr:col>4</xdr:col>
      <xdr:colOff>0</xdr:colOff>
      <xdr:row>6</xdr:row>
      <xdr:rowOff>1</xdr:rowOff>
    </xdr:to>
    <xdr:pic>
      <xdr:nvPicPr>
        <xdr:cNvPr id="2272" name="classIcon">
          <a:extLst>
            <a:ext uri="{FF2B5EF4-FFF2-40B4-BE49-F238E27FC236}">
              <a16:creationId xmlns:a16="http://schemas.microsoft.com/office/drawing/2014/main" id="{00000000-0008-0000-0100-0000E0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60567" y="2327564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pic>
      <xdr:nvPicPr>
        <xdr:cNvPr id="2274" name="classIcon">
          <a:extLst>
            <a:ext uri="{FF2B5EF4-FFF2-40B4-BE49-F238E27FC236}">
              <a16:creationId xmlns:a16="http://schemas.microsoft.com/office/drawing/2014/main" id="{00000000-0008-0000-0100-0000E2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60567" y="2701636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7</xdr:row>
      <xdr:rowOff>0</xdr:rowOff>
    </xdr:from>
    <xdr:to>
      <xdr:col>4</xdr:col>
      <xdr:colOff>0</xdr:colOff>
      <xdr:row>8</xdr:row>
      <xdr:rowOff>0</xdr:rowOff>
    </xdr:to>
    <xdr:pic>
      <xdr:nvPicPr>
        <xdr:cNvPr id="2276" name="classIcon">
          <a:extLst>
            <a:ext uri="{FF2B5EF4-FFF2-40B4-BE49-F238E27FC236}">
              <a16:creationId xmlns:a16="http://schemas.microsoft.com/office/drawing/2014/main" id="{00000000-0008-0000-0100-0000E4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460567" y="3075709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8</xdr:row>
      <xdr:rowOff>0</xdr:rowOff>
    </xdr:from>
    <xdr:to>
      <xdr:col>4</xdr:col>
      <xdr:colOff>0</xdr:colOff>
      <xdr:row>9</xdr:row>
      <xdr:rowOff>0</xdr:rowOff>
    </xdr:to>
    <xdr:pic>
      <xdr:nvPicPr>
        <xdr:cNvPr id="2278" name="classIcon">
          <a:extLst>
            <a:ext uri="{FF2B5EF4-FFF2-40B4-BE49-F238E27FC236}">
              <a16:creationId xmlns:a16="http://schemas.microsoft.com/office/drawing/2014/main" id="{00000000-0008-0000-0100-0000E6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460567" y="3449782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9</xdr:row>
      <xdr:rowOff>0</xdr:rowOff>
    </xdr:from>
    <xdr:to>
      <xdr:col>4</xdr:col>
      <xdr:colOff>0</xdr:colOff>
      <xdr:row>10</xdr:row>
      <xdr:rowOff>1</xdr:rowOff>
    </xdr:to>
    <xdr:pic>
      <xdr:nvPicPr>
        <xdr:cNvPr id="2280" name="classIcon">
          <a:extLst>
            <a:ext uri="{FF2B5EF4-FFF2-40B4-BE49-F238E27FC236}">
              <a16:creationId xmlns:a16="http://schemas.microsoft.com/office/drawing/2014/main" id="{00000000-0008-0000-0100-0000E8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60567" y="3823855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10</xdr:row>
      <xdr:rowOff>0</xdr:rowOff>
    </xdr:from>
    <xdr:to>
      <xdr:col>4</xdr:col>
      <xdr:colOff>0</xdr:colOff>
      <xdr:row>11</xdr:row>
      <xdr:rowOff>0</xdr:rowOff>
    </xdr:to>
    <xdr:pic>
      <xdr:nvPicPr>
        <xdr:cNvPr id="2282" name="classIcon">
          <a:extLst>
            <a:ext uri="{FF2B5EF4-FFF2-40B4-BE49-F238E27FC236}">
              <a16:creationId xmlns:a16="http://schemas.microsoft.com/office/drawing/2014/main" id="{00000000-0008-0000-0100-0000EA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460567" y="4197927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11</xdr:row>
      <xdr:rowOff>0</xdr:rowOff>
    </xdr:from>
    <xdr:to>
      <xdr:col>4</xdr:col>
      <xdr:colOff>0</xdr:colOff>
      <xdr:row>12</xdr:row>
      <xdr:rowOff>0</xdr:rowOff>
    </xdr:to>
    <xdr:pic>
      <xdr:nvPicPr>
        <xdr:cNvPr id="2284" name="classIcon">
          <a:extLst>
            <a:ext uri="{FF2B5EF4-FFF2-40B4-BE49-F238E27FC236}">
              <a16:creationId xmlns:a16="http://schemas.microsoft.com/office/drawing/2014/main" id="{00000000-0008-0000-0100-0000EC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2460567" y="4572000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12</xdr:row>
      <xdr:rowOff>0</xdr:rowOff>
    </xdr:from>
    <xdr:to>
      <xdr:col>4</xdr:col>
      <xdr:colOff>0</xdr:colOff>
      <xdr:row>13</xdr:row>
      <xdr:rowOff>1</xdr:rowOff>
    </xdr:to>
    <xdr:pic>
      <xdr:nvPicPr>
        <xdr:cNvPr id="2286" name="classIcon">
          <a:extLst>
            <a:ext uri="{FF2B5EF4-FFF2-40B4-BE49-F238E27FC236}">
              <a16:creationId xmlns:a16="http://schemas.microsoft.com/office/drawing/2014/main" id="{00000000-0008-0000-0100-0000EE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460567" y="4946073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13</xdr:row>
      <xdr:rowOff>0</xdr:rowOff>
    </xdr:from>
    <xdr:to>
      <xdr:col>4</xdr:col>
      <xdr:colOff>0</xdr:colOff>
      <xdr:row>14</xdr:row>
      <xdr:rowOff>0</xdr:rowOff>
    </xdr:to>
    <xdr:pic>
      <xdr:nvPicPr>
        <xdr:cNvPr id="2288" name="classIcon">
          <a:extLst>
            <a:ext uri="{FF2B5EF4-FFF2-40B4-BE49-F238E27FC236}">
              <a16:creationId xmlns:a16="http://schemas.microsoft.com/office/drawing/2014/main" id="{00000000-0008-0000-0100-0000F0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2460567" y="5320145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14</xdr:row>
      <xdr:rowOff>0</xdr:rowOff>
    </xdr:from>
    <xdr:to>
      <xdr:col>4</xdr:col>
      <xdr:colOff>0</xdr:colOff>
      <xdr:row>15</xdr:row>
      <xdr:rowOff>0</xdr:rowOff>
    </xdr:to>
    <xdr:pic>
      <xdr:nvPicPr>
        <xdr:cNvPr id="2290" name="classIcon">
          <a:extLst>
            <a:ext uri="{FF2B5EF4-FFF2-40B4-BE49-F238E27FC236}">
              <a16:creationId xmlns:a16="http://schemas.microsoft.com/office/drawing/2014/main" id="{00000000-0008-0000-0100-0000F2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2460567" y="5694218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15</xdr:row>
      <xdr:rowOff>0</xdr:rowOff>
    </xdr:from>
    <xdr:to>
      <xdr:col>4</xdr:col>
      <xdr:colOff>0</xdr:colOff>
      <xdr:row>16</xdr:row>
      <xdr:rowOff>0</xdr:rowOff>
    </xdr:to>
    <xdr:pic>
      <xdr:nvPicPr>
        <xdr:cNvPr id="2292" name="classIcon">
          <a:extLst>
            <a:ext uri="{FF2B5EF4-FFF2-40B4-BE49-F238E27FC236}">
              <a16:creationId xmlns:a16="http://schemas.microsoft.com/office/drawing/2014/main" id="{00000000-0008-0000-0100-0000F4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2460567" y="6068291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16</xdr:row>
      <xdr:rowOff>0</xdr:rowOff>
    </xdr:from>
    <xdr:to>
      <xdr:col>4</xdr:col>
      <xdr:colOff>0</xdr:colOff>
      <xdr:row>17</xdr:row>
      <xdr:rowOff>1</xdr:rowOff>
    </xdr:to>
    <xdr:pic>
      <xdr:nvPicPr>
        <xdr:cNvPr id="2294" name="classIcon">
          <a:extLst>
            <a:ext uri="{FF2B5EF4-FFF2-40B4-BE49-F238E27FC236}">
              <a16:creationId xmlns:a16="http://schemas.microsoft.com/office/drawing/2014/main" id="{00000000-0008-0000-0100-0000F6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460567" y="6442364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17</xdr:row>
      <xdr:rowOff>1</xdr:rowOff>
    </xdr:from>
    <xdr:to>
      <xdr:col>4</xdr:col>
      <xdr:colOff>0</xdr:colOff>
      <xdr:row>18</xdr:row>
      <xdr:rowOff>1</xdr:rowOff>
    </xdr:to>
    <xdr:pic>
      <xdr:nvPicPr>
        <xdr:cNvPr id="2296" name="classIcon">
          <a:extLst>
            <a:ext uri="{FF2B5EF4-FFF2-40B4-BE49-F238E27FC236}">
              <a16:creationId xmlns:a16="http://schemas.microsoft.com/office/drawing/2014/main" id="{00000000-0008-0000-0100-0000F8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2460567" y="6816437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18</xdr:row>
      <xdr:rowOff>0</xdr:rowOff>
    </xdr:from>
    <xdr:to>
      <xdr:col>4</xdr:col>
      <xdr:colOff>0</xdr:colOff>
      <xdr:row>19</xdr:row>
      <xdr:rowOff>0</xdr:rowOff>
    </xdr:to>
    <xdr:pic>
      <xdr:nvPicPr>
        <xdr:cNvPr id="2298" name="classIcon">
          <a:extLst>
            <a:ext uri="{FF2B5EF4-FFF2-40B4-BE49-F238E27FC236}">
              <a16:creationId xmlns:a16="http://schemas.microsoft.com/office/drawing/2014/main" id="{00000000-0008-0000-0100-0000FA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2460567" y="7190509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pic>
      <xdr:nvPicPr>
        <xdr:cNvPr id="2300" name="classIcon">
          <a:extLst>
            <a:ext uri="{FF2B5EF4-FFF2-40B4-BE49-F238E27FC236}">
              <a16:creationId xmlns:a16="http://schemas.microsoft.com/office/drawing/2014/main" id="{00000000-0008-0000-0100-0000FC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460567" y="7564582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19</xdr:row>
      <xdr:rowOff>374072</xdr:rowOff>
    </xdr:from>
    <xdr:to>
      <xdr:col>4</xdr:col>
      <xdr:colOff>0</xdr:colOff>
      <xdr:row>21</xdr:row>
      <xdr:rowOff>0</xdr:rowOff>
    </xdr:to>
    <xdr:pic>
      <xdr:nvPicPr>
        <xdr:cNvPr id="2302" name="classIcon">
          <a:extLst>
            <a:ext uri="{FF2B5EF4-FFF2-40B4-BE49-F238E27FC236}">
              <a16:creationId xmlns:a16="http://schemas.microsoft.com/office/drawing/2014/main" id="{00000000-0008-0000-0100-0000FE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2460567" y="7938654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21</xdr:row>
      <xdr:rowOff>0</xdr:rowOff>
    </xdr:from>
    <xdr:to>
      <xdr:col>4</xdr:col>
      <xdr:colOff>0</xdr:colOff>
      <xdr:row>22</xdr:row>
      <xdr:rowOff>0</xdr:rowOff>
    </xdr:to>
    <xdr:pic>
      <xdr:nvPicPr>
        <xdr:cNvPr id="1024" name="classIcon">
          <a:extLst>
            <a:ext uri="{FF2B5EF4-FFF2-40B4-BE49-F238E27FC236}">
              <a16:creationId xmlns:a16="http://schemas.microsoft.com/office/drawing/2014/main" id="{00000000-0008-0000-0100-00000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2460567" y="8312727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22</xdr:row>
      <xdr:rowOff>0</xdr:rowOff>
    </xdr:from>
    <xdr:to>
      <xdr:col>4</xdr:col>
      <xdr:colOff>0</xdr:colOff>
      <xdr:row>23</xdr:row>
      <xdr:rowOff>0</xdr:rowOff>
    </xdr:to>
    <xdr:pic>
      <xdr:nvPicPr>
        <xdr:cNvPr id="1026" name="classIcon">
          <a:extLs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"/>
        <a:stretch>
          <a:fillRect/>
        </a:stretch>
      </xdr:blipFill>
      <xdr:spPr>
        <a:xfrm>
          <a:off x="2460567" y="8686800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23</xdr:row>
      <xdr:rowOff>0</xdr:rowOff>
    </xdr:from>
    <xdr:to>
      <xdr:col>4</xdr:col>
      <xdr:colOff>0</xdr:colOff>
      <xdr:row>24</xdr:row>
      <xdr:rowOff>1</xdr:rowOff>
    </xdr:to>
    <xdr:pic>
      <xdr:nvPicPr>
        <xdr:cNvPr id="1029" name="classIcon">
          <a:extLst>
            <a:ext uri="{FF2B5EF4-FFF2-40B4-BE49-F238E27FC236}">
              <a16:creationId xmlns:a16="http://schemas.microsoft.com/office/drawing/2014/main" id="{00000000-0008-0000-0100-000005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60567" y="9060873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24</xdr:row>
      <xdr:rowOff>1</xdr:rowOff>
    </xdr:from>
    <xdr:to>
      <xdr:col>4</xdr:col>
      <xdr:colOff>0</xdr:colOff>
      <xdr:row>25</xdr:row>
      <xdr:rowOff>1</xdr:rowOff>
    </xdr:to>
    <xdr:pic>
      <xdr:nvPicPr>
        <xdr:cNvPr id="1031" name="classIcon">
          <a:extLst>
            <a:ext uri="{FF2B5EF4-FFF2-40B4-BE49-F238E27FC236}">
              <a16:creationId xmlns:a16="http://schemas.microsoft.com/office/drawing/2014/main" id="{00000000-0008-0000-0100-00000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60567" y="9434946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25</xdr:row>
      <xdr:rowOff>0</xdr:rowOff>
    </xdr:from>
    <xdr:to>
      <xdr:col>4</xdr:col>
      <xdr:colOff>0</xdr:colOff>
      <xdr:row>26</xdr:row>
      <xdr:rowOff>0</xdr:rowOff>
    </xdr:to>
    <xdr:pic>
      <xdr:nvPicPr>
        <xdr:cNvPr id="1033" name="classIcon">
          <a:extLst>
            <a:ext uri="{FF2B5EF4-FFF2-40B4-BE49-F238E27FC236}">
              <a16:creationId xmlns:a16="http://schemas.microsoft.com/office/drawing/2014/main" id="{00000000-0008-0000-0100-000009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2460567" y="9809018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26</xdr:row>
      <xdr:rowOff>0</xdr:rowOff>
    </xdr:from>
    <xdr:to>
      <xdr:col>4</xdr:col>
      <xdr:colOff>0</xdr:colOff>
      <xdr:row>27</xdr:row>
      <xdr:rowOff>0</xdr:rowOff>
    </xdr:to>
    <xdr:pic>
      <xdr:nvPicPr>
        <xdr:cNvPr id="1035" name="classIcon">
          <a:extLst>
            <a:ext uri="{FF2B5EF4-FFF2-40B4-BE49-F238E27FC236}">
              <a16:creationId xmlns:a16="http://schemas.microsoft.com/office/drawing/2014/main" id="{00000000-0008-0000-0100-00000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2460567" y="10183091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26</xdr:row>
      <xdr:rowOff>374072</xdr:rowOff>
    </xdr:from>
    <xdr:to>
      <xdr:col>4</xdr:col>
      <xdr:colOff>0</xdr:colOff>
      <xdr:row>28</xdr:row>
      <xdr:rowOff>0</xdr:rowOff>
    </xdr:to>
    <xdr:pic>
      <xdr:nvPicPr>
        <xdr:cNvPr id="1037" name="classIcon">
          <a:extLst>
            <a:ext uri="{FF2B5EF4-FFF2-40B4-BE49-F238E27FC236}">
              <a16:creationId xmlns:a16="http://schemas.microsoft.com/office/drawing/2014/main" id="{00000000-0008-0000-0100-00000D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460567" y="10557163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28</xdr:row>
      <xdr:rowOff>1</xdr:rowOff>
    </xdr:from>
    <xdr:to>
      <xdr:col>4</xdr:col>
      <xdr:colOff>0</xdr:colOff>
      <xdr:row>29</xdr:row>
      <xdr:rowOff>1</xdr:rowOff>
    </xdr:to>
    <xdr:pic>
      <xdr:nvPicPr>
        <xdr:cNvPr id="1039" name="classIcon">
          <a:extLst>
            <a:ext uri="{FF2B5EF4-FFF2-40B4-BE49-F238E27FC236}">
              <a16:creationId xmlns:a16="http://schemas.microsoft.com/office/drawing/2014/main" id="{00000000-0008-0000-0100-00000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60567" y="10931237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29</xdr:row>
      <xdr:rowOff>0</xdr:rowOff>
    </xdr:from>
    <xdr:to>
      <xdr:col>4</xdr:col>
      <xdr:colOff>0</xdr:colOff>
      <xdr:row>30</xdr:row>
      <xdr:rowOff>0</xdr:rowOff>
    </xdr:to>
    <xdr:pic>
      <xdr:nvPicPr>
        <xdr:cNvPr id="1041" name="classIcon">
          <a:extLst>
            <a:ext uri="{FF2B5EF4-FFF2-40B4-BE49-F238E27FC236}">
              <a16:creationId xmlns:a16="http://schemas.microsoft.com/office/drawing/2014/main" id="{00000000-0008-0000-0100-000011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460567" y="11305309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30</xdr:row>
      <xdr:rowOff>0</xdr:rowOff>
    </xdr:from>
    <xdr:to>
      <xdr:col>4</xdr:col>
      <xdr:colOff>0</xdr:colOff>
      <xdr:row>31</xdr:row>
      <xdr:rowOff>0</xdr:rowOff>
    </xdr:to>
    <xdr:pic>
      <xdr:nvPicPr>
        <xdr:cNvPr id="1043" name="classIcon">
          <a:extLst>
            <a:ext uri="{FF2B5EF4-FFF2-40B4-BE49-F238E27FC236}">
              <a16:creationId xmlns:a16="http://schemas.microsoft.com/office/drawing/2014/main" id="{00000000-0008-0000-0100-00001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460567" y="11679382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30</xdr:row>
      <xdr:rowOff>374072</xdr:rowOff>
    </xdr:from>
    <xdr:to>
      <xdr:col>4</xdr:col>
      <xdr:colOff>0</xdr:colOff>
      <xdr:row>32</xdr:row>
      <xdr:rowOff>0</xdr:rowOff>
    </xdr:to>
    <xdr:pic>
      <xdr:nvPicPr>
        <xdr:cNvPr id="1045" name="classIcon">
          <a:extLst>
            <a:ext uri="{FF2B5EF4-FFF2-40B4-BE49-F238E27FC236}">
              <a16:creationId xmlns:a16="http://schemas.microsoft.com/office/drawing/2014/main" id="{00000000-0008-0000-0100-000015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2460567" y="12053454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32</xdr:row>
      <xdr:rowOff>0</xdr:rowOff>
    </xdr:from>
    <xdr:to>
      <xdr:col>4</xdr:col>
      <xdr:colOff>0</xdr:colOff>
      <xdr:row>33</xdr:row>
      <xdr:rowOff>0</xdr:rowOff>
    </xdr:to>
    <xdr:pic>
      <xdr:nvPicPr>
        <xdr:cNvPr id="1047" name="classIcon">
          <a:extLst>
            <a:ext uri="{FF2B5EF4-FFF2-40B4-BE49-F238E27FC236}">
              <a16:creationId xmlns:a16="http://schemas.microsoft.com/office/drawing/2014/main" id="{00000000-0008-0000-0100-00001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2460567" y="12427527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33</xdr:row>
      <xdr:rowOff>0</xdr:rowOff>
    </xdr:from>
    <xdr:to>
      <xdr:col>4</xdr:col>
      <xdr:colOff>0</xdr:colOff>
      <xdr:row>34</xdr:row>
      <xdr:rowOff>0</xdr:rowOff>
    </xdr:to>
    <xdr:pic>
      <xdr:nvPicPr>
        <xdr:cNvPr id="1049" name="classIcon">
          <a:extLst>
            <a:ext uri="{FF2B5EF4-FFF2-40B4-BE49-F238E27FC236}">
              <a16:creationId xmlns:a16="http://schemas.microsoft.com/office/drawing/2014/main" id="{00000000-0008-0000-0100-000019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2460567" y="12801600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34</xdr:row>
      <xdr:rowOff>0</xdr:rowOff>
    </xdr:from>
    <xdr:to>
      <xdr:col>4</xdr:col>
      <xdr:colOff>0</xdr:colOff>
      <xdr:row>35</xdr:row>
      <xdr:rowOff>1</xdr:rowOff>
    </xdr:to>
    <xdr:pic>
      <xdr:nvPicPr>
        <xdr:cNvPr id="1051" name="classIcon">
          <a:extLst>
            <a:ext uri="{FF2B5EF4-FFF2-40B4-BE49-F238E27FC236}">
              <a16:creationId xmlns:a16="http://schemas.microsoft.com/office/drawing/2014/main" id="{00000000-0008-0000-0100-00001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2460567" y="13175673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35</xdr:row>
      <xdr:rowOff>0</xdr:rowOff>
    </xdr:from>
    <xdr:to>
      <xdr:col>4</xdr:col>
      <xdr:colOff>0</xdr:colOff>
      <xdr:row>36</xdr:row>
      <xdr:rowOff>0</xdr:rowOff>
    </xdr:to>
    <xdr:pic>
      <xdr:nvPicPr>
        <xdr:cNvPr id="1053" name="classIcon">
          <a:extLst>
            <a:ext uri="{FF2B5EF4-FFF2-40B4-BE49-F238E27FC236}">
              <a16:creationId xmlns:a16="http://schemas.microsoft.com/office/drawing/2014/main" id="{00000000-0008-0000-0100-00001D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"/>
        <a:stretch>
          <a:fillRect/>
        </a:stretch>
      </xdr:blipFill>
      <xdr:spPr>
        <a:xfrm>
          <a:off x="2460567" y="13549745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36</xdr:row>
      <xdr:rowOff>0</xdr:rowOff>
    </xdr:from>
    <xdr:to>
      <xdr:col>4</xdr:col>
      <xdr:colOff>0</xdr:colOff>
      <xdr:row>37</xdr:row>
      <xdr:rowOff>0</xdr:rowOff>
    </xdr:to>
    <xdr:pic>
      <xdr:nvPicPr>
        <xdr:cNvPr id="1055" name="classIcon">
          <a:extLst>
            <a:ext uri="{FF2B5EF4-FFF2-40B4-BE49-F238E27FC236}">
              <a16:creationId xmlns:a16="http://schemas.microsoft.com/office/drawing/2014/main" id="{00000000-0008-0000-0100-00001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2460567" y="13923818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37</xdr:row>
      <xdr:rowOff>1</xdr:rowOff>
    </xdr:from>
    <xdr:to>
      <xdr:col>4</xdr:col>
      <xdr:colOff>0</xdr:colOff>
      <xdr:row>38</xdr:row>
      <xdr:rowOff>1</xdr:rowOff>
    </xdr:to>
    <xdr:pic>
      <xdr:nvPicPr>
        <xdr:cNvPr id="1057" name="classIcon">
          <a:extLst>
            <a:ext uri="{FF2B5EF4-FFF2-40B4-BE49-F238E27FC236}">
              <a16:creationId xmlns:a16="http://schemas.microsoft.com/office/drawing/2014/main" id="{00000000-0008-0000-0100-000021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2460567" y="14297892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37</xdr:row>
      <xdr:rowOff>374072</xdr:rowOff>
    </xdr:from>
    <xdr:to>
      <xdr:col>4</xdr:col>
      <xdr:colOff>0</xdr:colOff>
      <xdr:row>39</xdr:row>
      <xdr:rowOff>0</xdr:rowOff>
    </xdr:to>
    <xdr:pic>
      <xdr:nvPicPr>
        <xdr:cNvPr id="1059" name="classIcon">
          <a:extLst>
            <a:ext uri="{FF2B5EF4-FFF2-40B4-BE49-F238E27FC236}">
              <a16:creationId xmlns:a16="http://schemas.microsoft.com/office/drawing/2014/main" id="{00000000-0008-0000-0100-00002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60567" y="14671963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39</xdr:row>
      <xdr:rowOff>1</xdr:rowOff>
    </xdr:from>
    <xdr:to>
      <xdr:col>4</xdr:col>
      <xdr:colOff>0</xdr:colOff>
      <xdr:row>40</xdr:row>
      <xdr:rowOff>1</xdr:rowOff>
    </xdr:to>
    <xdr:pic>
      <xdr:nvPicPr>
        <xdr:cNvPr id="1061" name="classIcon">
          <a:extLst>
            <a:ext uri="{FF2B5EF4-FFF2-40B4-BE49-F238E27FC236}">
              <a16:creationId xmlns:a16="http://schemas.microsoft.com/office/drawing/2014/main" id="{00000000-0008-0000-0100-000025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2460567" y="15046037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39</xdr:row>
      <xdr:rowOff>374072</xdr:rowOff>
    </xdr:from>
    <xdr:to>
      <xdr:col>4</xdr:col>
      <xdr:colOff>0</xdr:colOff>
      <xdr:row>40</xdr:row>
      <xdr:rowOff>374072</xdr:rowOff>
    </xdr:to>
    <xdr:pic>
      <xdr:nvPicPr>
        <xdr:cNvPr id="1063" name="classIcon">
          <a:extLst>
            <a:ext uri="{FF2B5EF4-FFF2-40B4-BE49-F238E27FC236}">
              <a16:creationId xmlns:a16="http://schemas.microsoft.com/office/drawing/2014/main" id="{00000000-0008-0000-0100-00002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460567" y="15420108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41</xdr:row>
      <xdr:rowOff>0</xdr:rowOff>
    </xdr:from>
    <xdr:to>
      <xdr:col>4</xdr:col>
      <xdr:colOff>0</xdr:colOff>
      <xdr:row>42</xdr:row>
      <xdr:rowOff>0</xdr:rowOff>
    </xdr:to>
    <xdr:pic>
      <xdr:nvPicPr>
        <xdr:cNvPr id="1065" name="classIcon">
          <a:extLst>
            <a:ext uri="{FF2B5EF4-FFF2-40B4-BE49-F238E27FC236}">
              <a16:creationId xmlns:a16="http://schemas.microsoft.com/office/drawing/2014/main" id="{00000000-0008-0000-0100-000029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60567" y="15794182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42</xdr:row>
      <xdr:rowOff>0</xdr:rowOff>
    </xdr:from>
    <xdr:to>
      <xdr:col>4</xdr:col>
      <xdr:colOff>0</xdr:colOff>
      <xdr:row>43</xdr:row>
      <xdr:rowOff>1</xdr:rowOff>
    </xdr:to>
    <xdr:pic>
      <xdr:nvPicPr>
        <xdr:cNvPr id="1067" name="classIcon">
          <a:extLst>
            <a:ext uri="{FF2B5EF4-FFF2-40B4-BE49-F238E27FC236}">
              <a16:creationId xmlns:a16="http://schemas.microsoft.com/office/drawing/2014/main" id="{00000000-0008-0000-0100-00002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60567" y="16168255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43</xdr:row>
      <xdr:rowOff>0</xdr:rowOff>
    </xdr:from>
    <xdr:to>
      <xdr:col>4</xdr:col>
      <xdr:colOff>0</xdr:colOff>
      <xdr:row>44</xdr:row>
      <xdr:rowOff>0</xdr:rowOff>
    </xdr:to>
    <xdr:pic>
      <xdr:nvPicPr>
        <xdr:cNvPr id="1069" name="classIcon">
          <a:extLst>
            <a:ext uri="{FF2B5EF4-FFF2-40B4-BE49-F238E27FC236}">
              <a16:creationId xmlns:a16="http://schemas.microsoft.com/office/drawing/2014/main" id="{00000000-0008-0000-0100-00002D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2460567" y="16542327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44</xdr:row>
      <xdr:rowOff>0</xdr:rowOff>
    </xdr:from>
    <xdr:to>
      <xdr:col>4</xdr:col>
      <xdr:colOff>0</xdr:colOff>
      <xdr:row>45</xdr:row>
      <xdr:rowOff>0</xdr:rowOff>
    </xdr:to>
    <xdr:pic>
      <xdr:nvPicPr>
        <xdr:cNvPr id="1071" name="classIcon">
          <a:extLst>
            <a:ext uri="{FF2B5EF4-FFF2-40B4-BE49-F238E27FC236}">
              <a16:creationId xmlns:a16="http://schemas.microsoft.com/office/drawing/2014/main" id="{00000000-0008-0000-0100-00002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460567" y="16916400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45</xdr:row>
      <xdr:rowOff>0</xdr:rowOff>
    </xdr:from>
    <xdr:to>
      <xdr:col>4</xdr:col>
      <xdr:colOff>0</xdr:colOff>
      <xdr:row>46</xdr:row>
      <xdr:rowOff>1</xdr:rowOff>
    </xdr:to>
    <xdr:pic>
      <xdr:nvPicPr>
        <xdr:cNvPr id="1073" name="classIcon">
          <a:extLst>
            <a:ext uri="{FF2B5EF4-FFF2-40B4-BE49-F238E27FC236}">
              <a16:creationId xmlns:a16="http://schemas.microsoft.com/office/drawing/2014/main" id="{00000000-0008-0000-0100-000031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2460567" y="17290473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46</xdr:row>
      <xdr:rowOff>0</xdr:rowOff>
    </xdr:from>
    <xdr:to>
      <xdr:col>4</xdr:col>
      <xdr:colOff>0</xdr:colOff>
      <xdr:row>47</xdr:row>
      <xdr:rowOff>0</xdr:rowOff>
    </xdr:to>
    <xdr:pic>
      <xdr:nvPicPr>
        <xdr:cNvPr id="1075" name="classIcon">
          <a:extLst>
            <a:ext uri="{FF2B5EF4-FFF2-40B4-BE49-F238E27FC236}">
              <a16:creationId xmlns:a16="http://schemas.microsoft.com/office/drawing/2014/main" id="{00000000-0008-0000-0100-00003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2460567" y="17664545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47</xdr:row>
      <xdr:rowOff>0</xdr:rowOff>
    </xdr:from>
    <xdr:to>
      <xdr:col>4</xdr:col>
      <xdr:colOff>0</xdr:colOff>
      <xdr:row>48</xdr:row>
      <xdr:rowOff>0</xdr:rowOff>
    </xdr:to>
    <xdr:pic>
      <xdr:nvPicPr>
        <xdr:cNvPr id="1077" name="classIcon">
          <a:extLst>
            <a:ext uri="{FF2B5EF4-FFF2-40B4-BE49-F238E27FC236}">
              <a16:creationId xmlns:a16="http://schemas.microsoft.com/office/drawing/2014/main" id="{00000000-0008-0000-0100-000035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2460567" y="18038618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48</xdr:row>
      <xdr:rowOff>1</xdr:rowOff>
    </xdr:from>
    <xdr:to>
      <xdr:col>4</xdr:col>
      <xdr:colOff>0</xdr:colOff>
      <xdr:row>49</xdr:row>
      <xdr:rowOff>1</xdr:rowOff>
    </xdr:to>
    <xdr:pic>
      <xdr:nvPicPr>
        <xdr:cNvPr id="1079" name="classIcon">
          <a:extLst>
            <a:ext uri="{FF2B5EF4-FFF2-40B4-BE49-F238E27FC236}">
              <a16:creationId xmlns:a16="http://schemas.microsoft.com/office/drawing/2014/main" id="{00000000-0008-0000-0100-00003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460567" y="18412692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48</xdr:row>
      <xdr:rowOff>374072</xdr:rowOff>
    </xdr:from>
    <xdr:to>
      <xdr:col>4</xdr:col>
      <xdr:colOff>0</xdr:colOff>
      <xdr:row>50</xdr:row>
      <xdr:rowOff>0</xdr:rowOff>
    </xdr:to>
    <xdr:pic>
      <xdr:nvPicPr>
        <xdr:cNvPr id="1081" name="classIcon">
          <a:extLst>
            <a:ext uri="{FF2B5EF4-FFF2-40B4-BE49-F238E27FC236}">
              <a16:creationId xmlns:a16="http://schemas.microsoft.com/office/drawing/2014/main" id="{00000000-0008-0000-0100-000039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2460567" y="18786763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50</xdr:row>
      <xdr:rowOff>1</xdr:rowOff>
    </xdr:from>
    <xdr:to>
      <xdr:col>4</xdr:col>
      <xdr:colOff>0</xdr:colOff>
      <xdr:row>51</xdr:row>
      <xdr:rowOff>1</xdr:rowOff>
    </xdr:to>
    <xdr:pic>
      <xdr:nvPicPr>
        <xdr:cNvPr id="1083" name="classIcon">
          <a:extLst>
            <a:ext uri="{FF2B5EF4-FFF2-40B4-BE49-F238E27FC236}">
              <a16:creationId xmlns:a16="http://schemas.microsoft.com/office/drawing/2014/main" id="{00000000-0008-0000-0100-00003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460567" y="19160837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50</xdr:row>
      <xdr:rowOff>374072</xdr:rowOff>
    </xdr:from>
    <xdr:to>
      <xdr:col>4</xdr:col>
      <xdr:colOff>0</xdr:colOff>
      <xdr:row>51</xdr:row>
      <xdr:rowOff>374072</xdr:rowOff>
    </xdr:to>
    <xdr:pic>
      <xdr:nvPicPr>
        <xdr:cNvPr id="1085" name="classIcon">
          <a:extLst>
            <a:ext uri="{FF2B5EF4-FFF2-40B4-BE49-F238E27FC236}">
              <a16:creationId xmlns:a16="http://schemas.microsoft.com/office/drawing/2014/main" id="{00000000-0008-0000-0100-00003D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460567" y="19534908"/>
          <a:ext cx="374073" cy="37407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282633</xdr:colOff>
          <xdr:row>0</xdr:row>
          <xdr:rowOff>174567</xdr:rowOff>
        </xdr:from>
        <xdr:to>
          <xdr:col>5</xdr:col>
          <xdr:colOff>440575</xdr:colOff>
          <xdr:row>6</xdr:row>
          <xdr:rowOff>8313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800" b="0" i="0" u="none" strike="noStrike" baseline="0">
                  <a:solidFill>
                    <a:srgbClr val="000080"/>
                  </a:solidFill>
                  <a:latin typeface="Bahnschrift SemiBold Condensed"/>
                </a:rPr>
                <a:t>Add Donations to main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41564</xdr:colOff>
          <xdr:row>0</xdr:row>
          <xdr:rowOff>49876</xdr:rowOff>
        </xdr:from>
        <xdr:to>
          <xdr:col>4</xdr:col>
          <xdr:colOff>1629295</xdr:colOff>
          <xdr:row>1</xdr:row>
          <xdr:rowOff>166255</xdr:rowOff>
        </xdr:to>
        <xdr:sp macro="" textlink="">
          <xdr:nvSpPr>
            <xdr:cNvPr id="2052" name="upcomming_CD" descr="Click this button to prepare the announcement for the upcomming CD.&#10;&#10;Announement string gets copied to your clipboard. So you just need to ctrl. + v ingame.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41564</xdr:colOff>
          <xdr:row>3</xdr:row>
          <xdr:rowOff>49876</xdr:rowOff>
        </xdr:from>
        <xdr:to>
          <xdr:col>4</xdr:col>
          <xdr:colOff>1645920</xdr:colOff>
          <xdr:row>4</xdr:row>
          <xdr:rowOff>307571</xdr:rowOff>
        </xdr:to>
        <xdr:sp macro="" textlink="">
          <xdr:nvSpPr>
            <xdr:cNvPr id="2053" name="AnnounceMVPForThisDungeon" descr="Click this button to prepare the announcement for the player who should get MVP for the announced CD.&#10;&#10;Announement string gets copied to your clipboard. So you just need to ctrl. + v ingame.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62345</xdr:colOff>
      <xdr:row>7</xdr:row>
      <xdr:rowOff>99752</xdr:rowOff>
    </xdr:from>
    <xdr:to>
      <xdr:col>13</xdr:col>
      <xdr:colOff>407324</xdr:colOff>
      <xdr:row>26</xdr:row>
      <xdr:rowOff>99752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enjamin Reimer" refreshedDate="44979.529080324071" createdVersion="7" refreshedVersion="7" minRefreshableVersion="3" recordCount="50" xr:uid="{C9D0E914-8B96-40A6-B4E4-8E5AFA4F7BF4}">
  <cacheSource type="worksheet">
    <worksheetSource name="Table_ClanMembers"/>
  </cacheSource>
  <cacheFields count="7">
    <cacheField name="ID" numFmtId="0">
      <sharedItems containsSemiMixedTypes="0" containsString="0" containsNumber="1" containsInteger="1" minValue="1" maxValue="50"/>
    </cacheField>
    <cacheField name="Clan Members" numFmtId="0">
      <sharedItems/>
    </cacheField>
    <cacheField name="Level" numFmtId="0">
      <sharedItems containsMixedTypes="1" containsNumber="1" containsInteger="1" minValue="401" maxValue="640"/>
    </cacheField>
    <cacheField name="." numFmtId="0">
      <sharedItems containsSemiMixedTypes="0" containsString="0" containsNumber="1" containsInteger="1" minValue="11" maxValue="163" count="23">
        <n v="163"/>
        <n v="73"/>
        <n v="131"/>
        <n v="102"/>
        <n v="14"/>
        <n v="11"/>
        <n v="75"/>
        <n v="15"/>
        <n v="72"/>
        <n v="74"/>
        <n v="12"/>
        <n v="46"/>
        <n v="45"/>
        <n v="101"/>
        <n v="44"/>
        <n v="76"/>
        <n v="71"/>
        <n v="104"/>
        <n v="106"/>
        <n v="13"/>
        <n v="161"/>
        <n v="135"/>
        <n v="103"/>
      </sharedItems>
    </cacheField>
    <cacheField name="Class" numFmtId="0">
      <sharedItems count="23">
        <s v="Trickster"/>
        <s v="Ghost Hunter"/>
        <s v="Destroyer"/>
        <s v="War Slayer"/>
        <s v="Sagittarius"/>
        <s v="Phoenix Knight"/>
        <s v="Storm Screamer"/>
        <s v="Archmage"/>
        <s v="Spectral Dancer"/>
        <s v="Ghost Sentinel"/>
        <s v="Dreadnought"/>
        <s v="Eva`s Saint"/>
        <s v="Mystic Muse"/>
        <s v="Eternal Guardian"/>
        <s v="Moonlight Sentinel"/>
        <s v="Shillien Saint"/>
        <s v="Shillien Templar"/>
        <s v="Warsmith"/>
        <s v="Master Sage"/>
        <s v="Adventurer"/>
        <s v="Doombringer"/>
        <s v="Warcryer"/>
        <s v="Bounty Hunter"/>
      </sharedItems>
    </cacheField>
    <cacheField name="Rank" numFmtId="0">
      <sharedItems/>
    </cacheField>
    <cacheField name="week 07_x000a_(13.02.2023 - 19.02.2023)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n v="49"/>
    <s v="Talon"/>
    <s v="601+"/>
    <x v="0"/>
    <x v="0"/>
    <s v="Squire"/>
    <m/>
  </r>
  <r>
    <n v="50"/>
    <s v="GoKU"/>
    <s v="543+"/>
    <x v="1"/>
    <x v="1"/>
    <s v="Squire"/>
    <m/>
  </r>
  <r>
    <n v="44"/>
    <s v="rebuild"/>
    <n v="640"/>
    <x v="2"/>
    <x v="2"/>
    <s v="Squire"/>
    <m/>
  </r>
  <r>
    <n v="48"/>
    <s v="ttman"/>
    <n v="633"/>
    <x v="3"/>
    <x v="3"/>
    <s v="Captain"/>
    <m/>
  </r>
  <r>
    <n v="18"/>
    <s v="Momot"/>
    <n v="628"/>
    <x v="4"/>
    <x v="4"/>
    <s v="Squire"/>
    <m/>
  </r>
  <r>
    <n v="8"/>
    <s v="cer123"/>
    <n v="625"/>
    <x v="5"/>
    <x v="5"/>
    <s v="Squire"/>
    <m/>
  </r>
  <r>
    <n v="25"/>
    <s v="zingaraus"/>
    <n v="625"/>
    <x v="6"/>
    <x v="6"/>
    <s v="Squire"/>
    <m/>
  </r>
  <r>
    <n v="28"/>
    <s v="Trenta"/>
    <n v="625"/>
    <x v="0"/>
    <x v="0"/>
    <s v="Squire"/>
    <m/>
  </r>
  <r>
    <n v="36"/>
    <s v="MORDALF"/>
    <n v="625"/>
    <x v="6"/>
    <x v="6"/>
    <s v="Squire"/>
    <m/>
  </r>
  <r>
    <n v="46"/>
    <s v="hisroyalbadness"/>
    <n v="624"/>
    <x v="6"/>
    <x v="6"/>
    <s v="Knight"/>
    <m/>
  </r>
  <r>
    <n v="1"/>
    <s v="theflash123"/>
    <n v="620"/>
    <x v="7"/>
    <x v="7"/>
    <s v="Leader"/>
    <m/>
  </r>
  <r>
    <n v="2"/>
    <s v="KelvinLGW"/>
    <n v="620"/>
    <x v="8"/>
    <x v="8"/>
    <s v="Squire"/>
    <m/>
  </r>
  <r>
    <n v="20"/>
    <s v="CelloOr"/>
    <n v="620"/>
    <x v="9"/>
    <x v="9"/>
    <s v="Squire"/>
    <m/>
  </r>
  <r>
    <n v="23"/>
    <s v="Aranarth"/>
    <n v="620"/>
    <x v="7"/>
    <x v="7"/>
    <s v="Squire"/>
    <m/>
  </r>
  <r>
    <n v="27"/>
    <s v="LythBery"/>
    <n v="620"/>
    <x v="8"/>
    <x v="8"/>
    <s v="Squire"/>
    <m/>
  </r>
  <r>
    <n v="47"/>
    <s v="Giann0s"/>
    <n v="620"/>
    <x v="1"/>
    <x v="1"/>
    <s v="Captain"/>
    <m/>
  </r>
  <r>
    <n v="29"/>
    <s v="HARLEY8QUINN"/>
    <n v="617"/>
    <x v="4"/>
    <x v="4"/>
    <s v="Squire"/>
    <m/>
  </r>
  <r>
    <n v="26"/>
    <s v="Moschino9"/>
    <n v="615"/>
    <x v="4"/>
    <x v="4"/>
    <s v="Squire"/>
    <m/>
  </r>
  <r>
    <n v="31"/>
    <s v="SVA"/>
    <n v="615"/>
    <x v="10"/>
    <x v="10"/>
    <s v="Squire"/>
    <m/>
  </r>
  <r>
    <n v="10"/>
    <s v="AidMaiden"/>
    <n v="610"/>
    <x v="11"/>
    <x v="11"/>
    <s v="Squire"/>
    <m/>
  </r>
  <r>
    <n v="19"/>
    <s v="waaarghzomg"/>
    <n v="605"/>
    <x v="3"/>
    <x v="3"/>
    <s v="Squire"/>
    <m/>
  </r>
  <r>
    <n v="24"/>
    <s v="Kyuremate"/>
    <n v="605"/>
    <x v="12"/>
    <x v="12"/>
    <s v="Squire"/>
    <m/>
  </r>
  <r>
    <n v="13"/>
    <s v="jiggas"/>
    <n v="603"/>
    <x v="13"/>
    <x v="13"/>
    <s v="Squire"/>
    <m/>
  </r>
  <r>
    <n v="35"/>
    <s v="Nyxxie"/>
    <n v="602"/>
    <x v="3"/>
    <x v="3"/>
    <s v="Squire"/>
    <m/>
  </r>
  <r>
    <n v="15"/>
    <s v="sam1"/>
    <n v="583"/>
    <x v="1"/>
    <x v="1"/>
    <s v="Squire"/>
    <m/>
  </r>
  <r>
    <n v="30"/>
    <s v="Yakobus"/>
    <n v="581"/>
    <x v="10"/>
    <x v="10"/>
    <s v="Squire"/>
    <m/>
  </r>
  <r>
    <n v="34"/>
    <s v="Adya#"/>
    <n v="576"/>
    <x v="14"/>
    <x v="14"/>
    <s v="Squire"/>
    <m/>
  </r>
  <r>
    <n v="32"/>
    <s v="hliasmpinas"/>
    <n v="562"/>
    <x v="15"/>
    <x v="15"/>
    <s v="Squire"/>
    <m/>
  </r>
  <r>
    <n v="14"/>
    <s v="ksmnsns"/>
    <n v="552"/>
    <x v="10"/>
    <x v="10"/>
    <s v="Squire"/>
    <m/>
  </r>
  <r>
    <n v="41"/>
    <s v="iDaevart"/>
    <n v="543"/>
    <x v="16"/>
    <x v="16"/>
    <s v="Squire"/>
    <m/>
  </r>
  <r>
    <n v="21"/>
    <s v="Orkesh"/>
    <n v="537"/>
    <x v="14"/>
    <x v="14"/>
    <s v="Squire"/>
    <m/>
  </r>
  <r>
    <n v="11"/>
    <s v="Mlia"/>
    <n v="525"/>
    <x v="0"/>
    <x v="0"/>
    <s v="Squire"/>
    <m/>
  </r>
  <r>
    <n v="16"/>
    <s v="Stavr0sNorth"/>
    <n v="512"/>
    <x v="9"/>
    <x v="9"/>
    <s v="Squire"/>
    <m/>
  </r>
  <r>
    <n v="9"/>
    <s v="reQuim"/>
    <n v="503"/>
    <x v="4"/>
    <x v="4"/>
    <s v="Squire"/>
    <m/>
  </r>
  <r>
    <n v="22"/>
    <s v="rabitoon"/>
    <n v="488"/>
    <x v="8"/>
    <x v="8"/>
    <s v="Squire"/>
    <m/>
  </r>
  <r>
    <n v="3"/>
    <s v="easy%"/>
    <n v="479"/>
    <x v="17"/>
    <x v="17"/>
    <s v="Squire"/>
    <m/>
  </r>
  <r>
    <n v="6"/>
    <s v="Lumiel"/>
    <n v="475"/>
    <x v="18"/>
    <x v="18"/>
    <s v="Squire"/>
    <m/>
  </r>
  <r>
    <n v="4"/>
    <s v="INVICTUS1"/>
    <n v="464"/>
    <x v="5"/>
    <x v="5"/>
    <s v="Squire"/>
    <m/>
  </r>
  <r>
    <n v="37"/>
    <s v="Herp??s"/>
    <n v="462"/>
    <x v="5"/>
    <x v="5"/>
    <s v="Squire"/>
    <m/>
  </r>
  <r>
    <n v="17"/>
    <s v="Jyk78"/>
    <n v="456"/>
    <x v="19"/>
    <x v="19"/>
    <s v="Squire"/>
    <m/>
  </r>
  <r>
    <n v="43"/>
    <s v="Sleepyfoot"/>
    <n v="453"/>
    <x v="4"/>
    <x v="4"/>
    <s v="Squire"/>
    <m/>
  </r>
  <r>
    <n v="42"/>
    <s v="CodeGirl20"/>
    <n v="452"/>
    <x v="20"/>
    <x v="20"/>
    <s v="Squire"/>
    <m/>
  </r>
  <r>
    <n v="12"/>
    <s v="TheKingOfOrcs"/>
    <n v="445"/>
    <x v="21"/>
    <x v="21"/>
    <s v="Squire"/>
    <m/>
  </r>
  <r>
    <n v="40"/>
    <s v="Mikilon#"/>
    <n v="442"/>
    <x v="8"/>
    <x v="8"/>
    <s v="Squire"/>
    <m/>
  </r>
  <r>
    <n v="38"/>
    <s v="Hoofknife"/>
    <n v="436"/>
    <x v="21"/>
    <x v="21"/>
    <s v="Squire"/>
    <m/>
  </r>
  <r>
    <n v="45"/>
    <s v="Mk"/>
    <n v="436"/>
    <x v="6"/>
    <x v="6"/>
    <s v="Squire"/>
    <m/>
  </r>
  <r>
    <n v="5"/>
    <s v="demonlord#"/>
    <n v="429"/>
    <x v="16"/>
    <x v="16"/>
    <s v="Squire"/>
    <m/>
  </r>
  <r>
    <n v="39"/>
    <s v="Electromagnetic"/>
    <n v="427"/>
    <x v="4"/>
    <x v="4"/>
    <s v="Squire"/>
    <m/>
  </r>
  <r>
    <n v="33"/>
    <s v="Argeta"/>
    <n v="425"/>
    <x v="22"/>
    <x v="22"/>
    <s v="Squire"/>
    <m/>
  </r>
  <r>
    <n v="7"/>
    <s v="kaptanikolas"/>
    <n v="401"/>
    <x v="1"/>
    <x v="1"/>
    <s v="Squire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B794F8-25EC-40FA-A488-34B134BF0684}" name="PivotTable2" cacheId="6" applyNumberFormats="0" applyBorderFormats="0" applyFontFormats="0" applyPatternFormats="0" applyAlignmentFormats="0" applyWidthHeightFormats="1" dataCaption="Werte" updatedVersion="7" minRefreshableVersion="3" useAutoFormatting="1" itemPrintTitles="1" createdVersion="7" indent="0" outline="1" outlineData="1" multipleFieldFilters="0" chartFormat="1">
  <location ref="A3:B27" firstHeaderRow="1" firstDataRow="1" firstDataCol="1"/>
  <pivotFields count="7">
    <pivotField showAll="0"/>
    <pivotField showAll="0"/>
    <pivotField showAll="0"/>
    <pivotField showAll="0">
      <items count="24">
        <item x="5"/>
        <item x="10"/>
        <item x="19"/>
        <item x="4"/>
        <item x="7"/>
        <item x="14"/>
        <item x="12"/>
        <item x="11"/>
        <item x="16"/>
        <item x="8"/>
        <item x="1"/>
        <item x="9"/>
        <item x="6"/>
        <item x="15"/>
        <item x="13"/>
        <item x="3"/>
        <item x="22"/>
        <item x="17"/>
        <item x="18"/>
        <item x="2"/>
        <item x="21"/>
        <item x="20"/>
        <item x="0"/>
        <item t="default"/>
      </items>
    </pivotField>
    <pivotField axis="axisRow" dataField="1" showAll="0">
      <items count="24">
        <item x="19"/>
        <item x="7"/>
        <item x="22"/>
        <item x="2"/>
        <item x="20"/>
        <item x="10"/>
        <item x="13"/>
        <item x="11"/>
        <item x="1"/>
        <item x="9"/>
        <item x="18"/>
        <item x="14"/>
        <item x="12"/>
        <item x="5"/>
        <item x="4"/>
        <item x="15"/>
        <item x="16"/>
        <item x="8"/>
        <item x="6"/>
        <item x="0"/>
        <item x="3"/>
        <item x="21"/>
        <item x="17"/>
        <item t="default"/>
      </items>
    </pivotField>
    <pivotField showAll="0"/>
    <pivotField showAll="0"/>
  </pivotFields>
  <rowFields count="1">
    <field x="4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dataFields count="1">
    <dataField name="Anzahl von Class" fld="4" subtotal="count" baseField="0" baseItem="0"/>
  </dataFields>
  <chartFormats count="69">
    <chartFormat chart="0" format="46" series="1">
      <pivotArea type="data" outline="0" fieldPosition="0">
        <references count="1">
          <reference field="4" count="1" selected="0">
            <x v="0"/>
          </reference>
        </references>
      </pivotArea>
    </chartFormat>
    <chartFormat chart="0" format="47" series="1">
      <pivotArea type="data" outline="0" fieldPosition="0">
        <references count="1">
          <reference field="4" count="1" selected="0">
            <x v="1"/>
          </reference>
        </references>
      </pivotArea>
    </chartFormat>
    <chartFormat chart="0" format="48" series="1">
      <pivotArea type="data" outline="0" fieldPosition="0">
        <references count="1">
          <reference field="4" count="1" selected="0">
            <x v="2"/>
          </reference>
        </references>
      </pivotArea>
    </chartFormat>
    <chartFormat chart="0" format="49" series="1">
      <pivotArea type="data" outline="0" fieldPosition="0">
        <references count="1">
          <reference field="4" count="1" selected="0">
            <x v="3"/>
          </reference>
        </references>
      </pivotArea>
    </chartFormat>
    <chartFormat chart="0" format="50" series="1">
      <pivotArea type="data" outline="0" fieldPosition="0">
        <references count="1">
          <reference field="4" count="1" selected="0">
            <x v="4"/>
          </reference>
        </references>
      </pivotArea>
    </chartFormat>
    <chartFormat chart="0" format="51" series="1">
      <pivotArea type="data" outline="0" fieldPosition="0">
        <references count="1">
          <reference field="4" count="1" selected="0">
            <x v="5"/>
          </reference>
        </references>
      </pivotArea>
    </chartFormat>
    <chartFormat chart="0" format="52" series="1">
      <pivotArea type="data" outline="0" fieldPosition="0">
        <references count="1">
          <reference field="4" count="1" selected="0">
            <x v="6"/>
          </reference>
        </references>
      </pivotArea>
    </chartFormat>
    <chartFormat chart="0" format="53" series="1">
      <pivotArea type="data" outline="0" fieldPosition="0">
        <references count="1">
          <reference field="4" count="1" selected="0">
            <x v="7"/>
          </reference>
        </references>
      </pivotArea>
    </chartFormat>
    <chartFormat chart="0" format="54" series="1">
      <pivotArea type="data" outline="0" fieldPosition="0">
        <references count="1">
          <reference field="4" count="1" selected="0">
            <x v="8"/>
          </reference>
        </references>
      </pivotArea>
    </chartFormat>
    <chartFormat chart="0" format="55" series="1">
      <pivotArea type="data" outline="0" fieldPosition="0">
        <references count="1">
          <reference field="4" count="1" selected="0">
            <x v="9"/>
          </reference>
        </references>
      </pivotArea>
    </chartFormat>
    <chartFormat chart="0" format="56" series="1">
      <pivotArea type="data" outline="0" fieldPosition="0">
        <references count="1">
          <reference field="4" count="1" selected="0">
            <x v="10"/>
          </reference>
        </references>
      </pivotArea>
    </chartFormat>
    <chartFormat chart="0" format="57" series="1">
      <pivotArea type="data" outline="0" fieldPosition="0">
        <references count="1">
          <reference field="4" count="1" selected="0">
            <x v="11"/>
          </reference>
        </references>
      </pivotArea>
    </chartFormat>
    <chartFormat chart="0" format="58" series="1">
      <pivotArea type="data" outline="0" fieldPosition="0">
        <references count="1">
          <reference field="4" count="1" selected="0">
            <x v="12"/>
          </reference>
        </references>
      </pivotArea>
    </chartFormat>
    <chartFormat chart="0" format="59" series="1">
      <pivotArea type="data" outline="0" fieldPosition="0">
        <references count="1">
          <reference field="4" count="1" selected="0">
            <x v="13"/>
          </reference>
        </references>
      </pivotArea>
    </chartFormat>
    <chartFormat chart="0" format="60" series="1">
      <pivotArea type="data" outline="0" fieldPosition="0">
        <references count="1">
          <reference field="4" count="1" selected="0">
            <x v="14"/>
          </reference>
        </references>
      </pivotArea>
    </chartFormat>
    <chartFormat chart="0" format="61" series="1">
      <pivotArea type="data" outline="0" fieldPosition="0">
        <references count="1">
          <reference field="4" count="1" selected="0">
            <x v="15"/>
          </reference>
        </references>
      </pivotArea>
    </chartFormat>
    <chartFormat chart="0" format="62" series="1">
      <pivotArea type="data" outline="0" fieldPosition="0">
        <references count="1">
          <reference field="4" count="1" selected="0">
            <x v="16"/>
          </reference>
        </references>
      </pivotArea>
    </chartFormat>
    <chartFormat chart="0" format="63" series="1">
      <pivotArea type="data" outline="0" fieldPosition="0">
        <references count="1">
          <reference field="4" count="1" selected="0">
            <x v="17"/>
          </reference>
        </references>
      </pivotArea>
    </chartFormat>
    <chartFormat chart="0" format="64" series="1">
      <pivotArea type="data" outline="0" fieldPosition="0">
        <references count="1">
          <reference field="4" count="1" selected="0">
            <x v="18"/>
          </reference>
        </references>
      </pivotArea>
    </chartFormat>
    <chartFormat chart="0" format="65" series="1">
      <pivotArea type="data" outline="0" fieldPosition="0">
        <references count="1">
          <reference field="4" count="1" selected="0">
            <x v="19"/>
          </reference>
        </references>
      </pivotArea>
    </chartFormat>
    <chartFormat chart="0" format="66" series="1">
      <pivotArea type="data" outline="0" fieldPosition="0">
        <references count="1">
          <reference field="4" count="1" selected="0">
            <x v="20"/>
          </reference>
        </references>
      </pivotArea>
    </chartFormat>
    <chartFormat chart="0" format="67" series="1">
      <pivotArea type="data" outline="0" fieldPosition="0">
        <references count="1">
          <reference field="4" count="1" selected="0">
            <x v="21"/>
          </reference>
        </references>
      </pivotArea>
    </chartFormat>
    <chartFormat chart="0" format="68" series="1">
      <pivotArea type="data" outline="0" fieldPosition="0">
        <references count="1">
          <reference field="4" count="1" selected="0">
            <x v="22"/>
          </reference>
        </references>
      </pivotArea>
    </chartFormat>
    <chartFormat chart="0" format="9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1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2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3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4"/>
          </reference>
        </references>
      </pivotArea>
    </chartFormat>
    <chartFormat chart="0" format="1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5"/>
          </reference>
        </references>
      </pivotArea>
    </chartFormat>
    <chartFormat chart="0" format="13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6"/>
          </reference>
        </references>
      </pivotArea>
    </chartFormat>
    <chartFormat chart="0" format="13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7"/>
          </reference>
        </references>
      </pivotArea>
    </chartFormat>
    <chartFormat chart="0" format="13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9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0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1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2"/>
          </reference>
        </references>
      </pivotArea>
    </chartFormat>
    <chartFormat chart="0" format="137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138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139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140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14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0" format="142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0" format="143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0" format="144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0" format="145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0" format="146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0" format="147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0" format="148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  <chartFormat chart="0" format="149">
      <pivotArea type="data" outline="0" fieldPosition="0">
        <references count="2">
          <reference field="4294967294" count="1" selected="0">
            <x v="0"/>
          </reference>
          <reference field="4" count="1" selected="0">
            <x v="12"/>
          </reference>
        </references>
      </pivotArea>
    </chartFormat>
    <chartFormat chart="0" format="150">
      <pivotArea type="data" outline="0" fieldPosition="0">
        <references count="2">
          <reference field="4294967294" count="1" selected="0">
            <x v="0"/>
          </reference>
          <reference field="4" count="1" selected="0">
            <x v="13"/>
          </reference>
        </references>
      </pivotArea>
    </chartFormat>
    <chartFormat chart="0" format="151">
      <pivotArea type="data" outline="0" fieldPosition="0">
        <references count="2">
          <reference field="4294967294" count="1" selected="0">
            <x v="0"/>
          </reference>
          <reference field="4" count="1" selected="0">
            <x v="14"/>
          </reference>
        </references>
      </pivotArea>
    </chartFormat>
    <chartFormat chart="0" format="152">
      <pivotArea type="data" outline="0" fieldPosition="0">
        <references count="2">
          <reference field="4294967294" count="1" selected="0">
            <x v="0"/>
          </reference>
          <reference field="4" count="1" selected="0">
            <x v="15"/>
          </reference>
        </references>
      </pivotArea>
    </chartFormat>
    <chartFormat chart="0" format="153">
      <pivotArea type="data" outline="0" fieldPosition="0">
        <references count="2">
          <reference field="4294967294" count="1" selected="0">
            <x v="0"/>
          </reference>
          <reference field="4" count="1" selected="0">
            <x v="16"/>
          </reference>
        </references>
      </pivotArea>
    </chartFormat>
    <chartFormat chart="0" format="154">
      <pivotArea type="data" outline="0" fieldPosition="0">
        <references count="2">
          <reference field="4294967294" count="1" selected="0">
            <x v="0"/>
          </reference>
          <reference field="4" count="1" selected="0">
            <x v="17"/>
          </reference>
        </references>
      </pivotArea>
    </chartFormat>
    <chartFormat chart="0" format="155">
      <pivotArea type="data" outline="0" fieldPosition="0">
        <references count="2">
          <reference field="4294967294" count="1" selected="0">
            <x v="0"/>
          </reference>
          <reference field="4" count="1" selected="0">
            <x v="18"/>
          </reference>
        </references>
      </pivotArea>
    </chartFormat>
    <chartFormat chart="0" format="156">
      <pivotArea type="data" outline="0" fieldPosition="0">
        <references count="2">
          <reference field="4294967294" count="1" selected="0">
            <x v="0"/>
          </reference>
          <reference field="4" count="1" selected="0">
            <x v="19"/>
          </reference>
        </references>
      </pivotArea>
    </chartFormat>
    <chartFormat chart="0" format="157">
      <pivotArea type="data" outline="0" fieldPosition="0">
        <references count="2">
          <reference field="4294967294" count="1" selected="0">
            <x v="0"/>
          </reference>
          <reference field="4" count="1" selected="0">
            <x v="20"/>
          </reference>
        </references>
      </pivotArea>
    </chartFormat>
    <chartFormat chart="0" format="158">
      <pivotArea type="data" outline="0" fieldPosition="0">
        <references count="2">
          <reference field="4294967294" count="1" selected="0">
            <x v="0"/>
          </reference>
          <reference field="4" count="1" selected="0">
            <x v="21"/>
          </reference>
        </references>
      </pivotArea>
    </chartFormat>
    <chartFormat chart="0" format="159">
      <pivotArea type="data" outline="0" fieldPosition="0">
        <references count="2">
          <reference field="4294967294" count="1" selected="0">
            <x v="0"/>
          </reference>
          <reference field="4" count="1" selected="0">
            <x v="2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82A01D-FC82-485A-80A9-4B5B0CB63CC2}" name="Table_ClanMembers" displayName="Table_ClanMembers" ref="A2:G52" totalsRowShown="0" dataDxfId="61" headerRowBorderDxfId="62" tableBorderDxfId="60">
  <autoFilter ref="A2:G52" xr:uid="{8982A01D-FC82-485A-80A9-4B5B0CB63CC2}"/>
  <sortState xmlns:xlrd2="http://schemas.microsoft.com/office/spreadsheetml/2017/richdata2" ref="A3:G52">
    <sortCondition descending="1" ref="C2:C52"/>
  </sortState>
  <tableColumns count="7">
    <tableColumn id="1" xr3:uid="{60C6A89D-E18C-4C9C-888F-877078C3CFEB}" name="ID" dataDxfId="59"/>
    <tableColumn id="2" xr3:uid="{5A948C50-244D-4992-9163-C3827942C8BE}" name="Member" dataDxfId="58"/>
    <tableColumn id="3" xr3:uid="{E476DD68-4345-4786-B053-1BD8C69E18C3}" name="Level" dataDxfId="57"/>
    <tableColumn id="4" xr3:uid="{13CBAA04-BE01-4A56-B2C8-5C00642AC358}" name="." dataDxfId="56"/>
    <tableColumn id="5" xr3:uid="{21FAF16B-7BA4-4017-837E-3F1E9A3D9B8B}" name="Class" dataDxfId="55"/>
    <tableColumn id="6" xr3:uid="{70E90BFA-8B0A-4A03-BA7B-96B02D39773F}" name="Rank" dataDxfId="54"/>
    <tableColumn id="7" xr3:uid="{2B74A569-CE91-438C-82D1-2EE3F7A1C6DE}" name="this weeks donation" dataDxfId="53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F31C91-9710-405D-9809-A0B891D3039F}" name="Tbl_TotalDonations" displayName="Tbl_TotalDonations" ref="A1:V51" totalsRowShown="0" headerRowDxfId="52" dataDxfId="50" headerRowBorderDxfId="51">
  <autoFilter ref="A1:V51" xr:uid="{E0F31C91-9710-405D-9809-A0B891D3039F}"/>
  <tableColumns count="22">
    <tableColumn id="2" xr3:uid="{CC1EA04B-3C17-485B-B295-F81375E57753}" name="Member" dataDxfId="49" totalsRowDxfId="48"/>
    <tableColumn id="24" xr3:uid="{A4B266DA-90F8-4AE8-A5BA-FDB446C51637}" name="graph" dataDxfId="47" totalsRowDxfId="46"/>
    <tableColumn id="1" xr3:uid="{1E610223-05CD-4999-8B01-D3DB54CFD527}" name="calendar week 08" dataDxfId="45" totalsRowDxfId="44"/>
    <tableColumn id="5" xr3:uid="{16573509-94AF-4B1A-8BED-C17DBDA01CFA}" name="calendar week 09" dataDxfId="43" totalsRowDxfId="42"/>
    <tableColumn id="6" xr3:uid="{72FB46AD-7672-4111-AD40-DF1E96DE989D}" name="calendar week 10" dataDxfId="41" totalsRowDxfId="40"/>
    <tableColumn id="7" xr3:uid="{1DC3E8EB-CF88-442B-9401-EA2A57FD3F2F}" name="calendar week 11" dataDxfId="39" totalsRowDxfId="38"/>
    <tableColumn id="8" xr3:uid="{C9944B62-B14C-49FE-984B-A5650C161A6A}" name="calendar week 12" dataDxfId="37" totalsRowDxfId="36"/>
    <tableColumn id="9" xr3:uid="{D352C217-59A0-4002-A424-1C1F8D0721B3}" name="calendar week 13" dataDxfId="35" totalsRowDxfId="34"/>
    <tableColumn id="10" xr3:uid="{A31FF438-2854-4DB5-9F08-75663ECEFA64}" name="calendar week 14" dataDxfId="33" totalsRowDxfId="32"/>
    <tableColumn id="20" xr3:uid="{EA4F162F-86E1-4FEF-8C4F-1A0DD55D2BFF}" name="calendar week 15" dataDxfId="31" totalsRowDxfId="30"/>
    <tableColumn id="21" xr3:uid="{844C7317-CD4C-4B32-8A99-A24252E0F40C}" name="calendar week 16" dataDxfId="29" totalsRowDxfId="28"/>
    <tableColumn id="3" xr3:uid="{2CB08611-3DE8-4AF0-A8F9-F7E492A4D916}" name="calendar week 17" dataDxfId="27" totalsRowDxfId="26"/>
    <tableColumn id="4" xr3:uid="{CF911C7E-32C8-4E21-8436-D38EC7551B89}" name="calendar week 18" dataDxfId="25" totalsRowDxfId="24"/>
    <tableColumn id="11" xr3:uid="{B5B350B9-479B-4CA4-A1F2-5C668EBD8CF5}" name="calendar week 19" dataDxfId="23" totalsRowDxfId="22"/>
    <tableColumn id="12" xr3:uid="{EAB0ECEA-2E3E-4CD2-AEB9-2E18B2CAC69A}" name="calendar week 20" dataDxfId="21" totalsRowDxfId="20"/>
    <tableColumn id="13" xr3:uid="{2E257AA2-1A4A-4031-9EDD-A54962DA2BF2}" name="calendar week 21" dataDxfId="19" totalsRowDxfId="18"/>
    <tableColumn id="14" xr3:uid="{C23ED812-6B2A-4F23-911C-E66B4F0F0A66}" name="calendar week 22" dataDxfId="17" totalsRowDxfId="16"/>
    <tableColumn id="15" xr3:uid="{58246D6E-A05D-482D-8628-F8D9C0DBC7B8}" name="calendar week 23" dataDxfId="15" totalsRowDxfId="14"/>
    <tableColumn id="16" xr3:uid="{F5003305-6B3E-4096-B6CC-CE50F0F501F0}" name="calendar week 24" dataDxfId="13" totalsRowDxfId="12"/>
    <tableColumn id="17" xr3:uid="{B97D6D73-73B2-4D36-BA62-795E851B81CA}" name="calendar week 25" dataDxfId="11" totalsRowDxfId="10"/>
    <tableColumn id="18" xr3:uid="{4DE58147-044A-48B6-B5AB-08DDA89B1DF5}" name="calendar week 26" dataDxfId="9" totalsRowDxfId="8"/>
    <tableColumn id="19" xr3:uid="{DCAEAE32-4D7C-4099-A3C7-39763B53658E}" name="calendar week 27" dataDxfId="7" totalsRowDxfId="6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16D72AA-39E7-4059-9BBA-19CB149D3940}" name="Table_AddDonations" displayName="Table_AddDonations" ref="A3:B53" totalsRowShown="0" headerRowDxfId="5" dataDxfId="4">
  <autoFilter ref="A3:B53" xr:uid="{C16D72AA-39E7-4059-9BBA-19CB149D3940}"/>
  <sortState xmlns:xlrd2="http://schemas.microsoft.com/office/spreadsheetml/2017/richdata2" ref="A4:B53">
    <sortCondition ref="A3:A53"/>
  </sortState>
  <tableColumns count="2">
    <tableColumn id="1" xr3:uid="{9D06E03A-DAC1-4185-955C-E37569EFCEBC}" name="Member" dataDxfId="3">
      <calculatedColumnFormula>ClanMembers!B3</calculatedColumnFormula>
    </tableColumn>
    <tableColumn id="2" xr3:uid="{BF04F4AF-B833-40CF-A96B-2C74BBB31713}" name="15.02.2023" dataDxfId="2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4DA29A7-B2B4-4582-9088-EFE96FC59B1D}" name="Tabelle1" displayName="Tabelle1" ref="A1:B1048576" totalsRowShown="0">
  <autoFilter ref="A1:B1048576" xr:uid="{E4DA29A7-B2B4-4582-9088-EFE96FC59B1D}"/>
  <tableColumns count="2">
    <tableColumn id="1" xr3:uid="{15E53318-B76E-4295-B487-483B09FB0AF3}" name="class_ID" dataDxfId="1"/>
    <tableColumn id="2" xr3:uid="{F15AD7A9-A173-4870-A45A-1B2F3E36CA84}" name="class_Name" dataDxfId="0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01" row="9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D3EDA21-3C22-4C63-8DAF-387D94F97D55}">
  <we:reference id="wa104380386" version="1.0.0.0" store="en-US" storeType="OMEX"/>
  <we:alternateReferences>
    <we:reference id="WA104380386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F090F-2A23-4F34-9186-4995F42C4526}">
  <sheetPr codeName="Tabelle1"/>
  <dimension ref="A1"/>
  <sheetViews>
    <sheetView zoomScaleNormal="100" workbookViewId="0">
      <selection activeCell="C40" sqref="C40"/>
    </sheetView>
  </sheetViews>
  <sheetFormatPr baseColWidth="10" defaultRowHeight="15.05" x14ac:dyDescent="0.3"/>
  <sheetData/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D57B9-59E7-47F6-921B-C69330716FDC}">
  <sheetPr codeName="setup_members">
    <tabColor rgb="FFFFC000"/>
  </sheetPr>
  <dimension ref="A1:L98"/>
  <sheetViews>
    <sheetView topLeftCell="C7" zoomScale="145" zoomScaleNormal="145" workbookViewId="0">
      <selection activeCell="G52" sqref="G52"/>
    </sheetView>
  </sheetViews>
  <sheetFormatPr baseColWidth="10" defaultColWidth="11.44140625" defaultRowHeight="15.05" x14ac:dyDescent="0.3"/>
  <cols>
    <col min="1" max="1" width="4.6640625" style="28" customWidth="1"/>
    <col min="2" max="2" width="18" style="27" customWidth="1"/>
    <col min="3" max="3" width="10.21875" style="3" customWidth="1"/>
    <col min="4" max="4" width="5" style="2" customWidth="1"/>
    <col min="5" max="5" width="20.21875" style="26" bestFit="1" customWidth="1"/>
    <col min="6" max="6" width="11.44140625" style="2" customWidth="1"/>
    <col min="7" max="7" width="24.44140625" style="2" customWidth="1"/>
    <col min="8" max="8" width="2.6640625" style="1" customWidth="1"/>
    <col min="9" max="9" width="41.6640625" style="1" customWidth="1"/>
    <col min="10" max="11" width="11.44140625" style="1"/>
    <col min="12" max="12" width="66.5546875" style="1" customWidth="1"/>
    <col min="13" max="16384" width="11.44140625" style="1"/>
  </cols>
  <sheetData>
    <row r="1" spans="1:12" ht="56.3" customHeight="1" thickBot="1" x14ac:dyDescent="0.35">
      <c r="A1" s="100" t="s">
        <v>2</v>
      </c>
      <c r="B1" s="101"/>
      <c r="C1" s="101"/>
      <c r="D1" s="101"/>
      <c r="E1" s="101"/>
      <c r="F1" s="101"/>
      <c r="G1" s="102"/>
      <c r="H1" s="29"/>
      <c r="I1" s="62"/>
      <c r="J1" s="29"/>
      <c r="K1" s="29"/>
      <c r="L1" s="29"/>
    </row>
    <row r="2" spans="1:12" ht="38.65" customHeight="1" thickBot="1" x14ac:dyDescent="0.35">
      <c r="A2" s="85" t="s">
        <v>89</v>
      </c>
      <c r="B2" s="86" t="s">
        <v>91</v>
      </c>
      <c r="C2" s="87" t="s">
        <v>4</v>
      </c>
      <c r="D2" s="92" t="s">
        <v>95</v>
      </c>
      <c r="E2" s="84" t="s">
        <v>3</v>
      </c>
      <c r="F2" s="88" t="s">
        <v>5</v>
      </c>
      <c r="G2" s="89" t="s">
        <v>167</v>
      </c>
      <c r="H2" s="63"/>
      <c r="I2" s="65" t="s">
        <v>159</v>
      </c>
      <c r="J2" s="29"/>
      <c r="K2" s="29"/>
      <c r="L2" s="29"/>
    </row>
    <row r="3" spans="1:12" s="25" customFormat="1" ht="29.45" customHeight="1" thickBot="1" x14ac:dyDescent="0.35">
      <c r="A3" s="46">
        <v>49</v>
      </c>
      <c r="B3" s="47" t="s">
        <v>144</v>
      </c>
      <c r="C3" s="61">
        <v>999</v>
      </c>
      <c r="D3" s="48">
        <v>163</v>
      </c>
      <c r="E3" s="49" t="s">
        <v>46</v>
      </c>
      <c r="F3" s="48" t="s">
        <v>88</v>
      </c>
      <c r="G3" s="58">
        <v>0</v>
      </c>
      <c r="H3" s="30"/>
      <c r="I3" s="91" t="s">
        <v>160</v>
      </c>
      <c r="J3" s="30"/>
      <c r="K3" s="30"/>
      <c r="L3" s="30" t="s">
        <v>96</v>
      </c>
    </row>
    <row r="4" spans="1:12" s="25" customFormat="1" ht="29.45" customHeight="1" thickBot="1" x14ac:dyDescent="0.35">
      <c r="A4" s="46">
        <v>50</v>
      </c>
      <c r="B4" s="47" t="s">
        <v>145</v>
      </c>
      <c r="C4" s="61">
        <v>999</v>
      </c>
      <c r="D4" s="48">
        <v>73</v>
      </c>
      <c r="E4" s="49" t="s">
        <v>70</v>
      </c>
      <c r="F4" s="48" t="s">
        <v>88</v>
      </c>
      <c r="G4" s="58">
        <v>0</v>
      </c>
      <c r="H4" s="30"/>
      <c r="I4" s="30"/>
      <c r="J4" s="30"/>
      <c r="K4" s="30"/>
      <c r="L4" s="30"/>
    </row>
    <row r="5" spans="1:12" s="25" customFormat="1" ht="29.45" customHeight="1" thickBot="1" x14ac:dyDescent="0.35">
      <c r="A5" s="41">
        <v>44</v>
      </c>
      <c r="B5" s="95" t="s">
        <v>139</v>
      </c>
      <c r="C5" s="60">
        <v>640</v>
      </c>
      <c r="D5" s="43">
        <v>131</v>
      </c>
      <c r="E5" s="44" t="s">
        <v>36</v>
      </c>
      <c r="F5" s="43" t="s">
        <v>88</v>
      </c>
      <c r="G5" s="57">
        <v>2835</v>
      </c>
      <c r="H5" s="30"/>
      <c r="I5" s="30"/>
      <c r="J5" s="30"/>
      <c r="K5" s="30"/>
      <c r="L5" s="30" t="s">
        <v>96</v>
      </c>
    </row>
    <row r="6" spans="1:12" s="25" customFormat="1" ht="29.45" customHeight="1" thickBot="1" x14ac:dyDescent="0.35">
      <c r="A6" s="46">
        <v>48</v>
      </c>
      <c r="B6" s="47" t="s">
        <v>143</v>
      </c>
      <c r="C6" s="61">
        <v>633</v>
      </c>
      <c r="D6" s="48">
        <v>102</v>
      </c>
      <c r="E6" s="49" t="s">
        <v>23</v>
      </c>
      <c r="F6" s="48" t="s">
        <v>87</v>
      </c>
      <c r="G6" s="58">
        <v>0</v>
      </c>
      <c r="H6" s="30"/>
      <c r="I6" s="30"/>
      <c r="J6" s="30"/>
      <c r="K6" s="30"/>
      <c r="L6" s="30"/>
    </row>
    <row r="7" spans="1:12" s="25" customFormat="1" ht="29.45" customHeight="1" thickBot="1" x14ac:dyDescent="0.35">
      <c r="A7" s="41">
        <v>18</v>
      </c>
      <c r="B7" s="42" t="s">
        <v>114</v>
      </c>
      <c r="C7" s="60">
        <v>628</v>
      </c>
      <c r="D7" s="43">
        <v>14</v>
      </c>
      <c r="E7" s="44" t="s">
        <v>39</v>
      </c>
      <c r="F7" s="43" t="s">
        <v>88</v>
      </c>
      <c r="G7" s="57">
        <v>3445</v>
      </c>
      <c r="H7" s="30"/>
      <c r="I7" s="30"/>
      <c r="J7" s="30"/>
      <c r="K7" s="30"/>
      <c r="L7" s="30"/>
    </row>
    <row r="8" spans="1:12" s="25" customFormat="1" ht="29.45" customHeight="1" thickBot="1" x14ac:dyDescent="0.35">
      <c r="A8" s="46">
        <v>8</v>
      </c>
      <c r="B8" s="47" t="s">
        <v>104</v>
      </c>
      <c r="C8" s="61">
        <v>625</v>
      </c>
      <c r="D8" s="48">
        <v>11</v>
      </c>
      <c r="E8" s="49" t="s">
        <v>28</v>
      </c>
      <c r="F8" s="48" t="s">
        <v>88</v>
      </c>
      <c r="G8" s="58">
        <v>3150</v>
      </c>
      <c r="H8" s="30"/>
      <c r="I8" s="30"/>
      <c r="J8" s="30"/>
      <c r="K8" s="30"/>
      <c r="L8" s="30"/>
    </row>
    <row r="9" spans="1:12" s="25" customFormat="1" ht="29.45" customHeight="1" thickBot="1" x14ac:dyDescent="0.35">
      <c r="A9" s="46">
        <v>25</v>
      </c>
      <c r="B9" s="47" t="s">
        <v>121</v>
      </c>
      <c r="C9" s="61">
        <v>625</v>
      </c>
      <c r="D9" s="48">
        <v>75</v>
      </c>
      <c r="E9" s="49" t="s">
        <v>72</v>
      </c>
      <c r="F9" s="48" t="s">
        <v>88</v>
      </c>
      <c r="G9" s="58">
        <v>2100</v>
      </c>
      <c r="H9" s="30"/>
      <c r="I9" s="30"/>
      <c r="J9" s="30"/>
      <c r="K9" s="30"/>
      <c r="L9" s="30"/>
    </row>
    <row r="10" spans="1:12" s="25" customFormat="1" ht="29.45" customHeight="1" thickBot="1" x14ac:dyDescent="0.35">
      <c r="A10" s="46">
        <v>28</v>
      </c>
      <c r="B10" s="47" t="s">
        <v>124</v>
      </c>
      <c r="C10" s="61">
        <v>625</v>
      </c>
      <c r="D10" s="48">
        <v>163</v>
      </c>
      <c r="E10" s="49" t="s">
        <v>46</v>
      </c>
      <c r="F10" s="48" t="s">
        <v>88</v>
      </c>
      <c r="G10" s="58">
        <v>550</v>
      </c>
      <c r="H10" s="30"/>
      <c r="I10" s="30"/>
      <c r="J10" s="30"/>
      <c r="K10" s="30"/>
      <c r="L10" s="30"/>
    </row>
    <row r="11" spans="1:12" s="25" customFormat="1" ht="29.45" customHeight="1" thickBot="1" x14ac:dyDescent="0.35">
      <c r="A11" s="46">
        <v>36</v>
      </c>
      <c r="B11" s="47" t="s">
        <v>132</v>
      </c>
      <c r="C11" s="61">
        <v>625</v>
      </c>
      <c r="D11" s="48">
        <v>75</v>
      </c>
      <c r="E11" s="49" t="s">
        <v>72</v>
      </c>
      <c r="F11" s="48" t="s">
        <v>88</v>
      </c>
      <c r="G11" s="58">
        <v>0</v>
      </c>
      <c r="H11" s="30"/>
      <c r="I11" s="30"/>
      <c r="J11" s="30"/>
      <c r="K11" s="30"/>
      <c r="L11" s="30"/>
    </row>
    <row r="12" spans="1:12" s="25" customFormat="1" ht="29.45" customHeight="1" thickBot="1" x14ac:dyDescent="0.35">
      <c r="A12" s="46">
        <v>46</v>
      </c>
      <c r="B12" s="47" t="s">
        <v>141</v>
      </c>
      <c r="C12" s="61">
        <v>624</v>
      </c>
      <c r="D12" s="48">
        <v>75</v>
      </c>
      <c r="E12" s="49" t="s">
        <v>72</v>
      </c>
      <c r="F12" s="48" t="s">
        <v>86</v>
      </c>
      <c r="G12" s="58">
        <v>2810</v>
      </c>
      <c r="H12" s="30"/>
      <c r="I12" s="30"/>
      <c r="J12" s="30"/>
      <c r="K12" s="30"/>
      <c r="L12" s="30"/>
    </row>
    <row r="13" spans="1:12" s="25" customFormat="1" ht="29.45" customHeight="1" thickBot="1" x14ac:dyDescent="0.35">
      <c r="A13" s="46">
        <v>1</v>
      </c>
      <c r="B13" s="47" t="s">
        <v>97</v>
      </c>
      <c r="C13" s="61">
        <v>620</v>
      </c>
      <c r="D13" s="48">
        <v>15</v>
      </c>
      <c r="E13" s="49" t="s">
        <v>40</v>
      </c>
      <c r="F13" s="48" t="s">
        <v>85</v>
      </c>
      <c r="G13" s="58">
        <v>2110</v>
      </c>
      <c r="H13" s="30"/>
      <c r="I13" s="30"/>
      <c r="J13" s="30"/>
      <c r="K13" s="30"/>
      <c r="L13" s="30"/>
    </row>
    <row r="14" spans="1:12" s="25" customFormat="1" ht="29.45" customHeight="1" thickBot="1" x14ac:dyDescent="0.35">
      <c r="A14" s="46">
        <v>2</v>
      </c>
      <c r="B14" s="47" t="s">
        <v>98</v>
      </c>
      <c r="C14" s="61">
        <v>620</v>
      </c>
      <c r="D14" s="48">
        <v>72</v>
      </c>
      <c r="E14" s="49" t="s">
        <v>69</v>
      </c>
      <c r="F14" s="48" t="s">
        <v>88</v>
      </c>
      <c r="G14" s="58">
        <v>1000</v>
      </c>
      <c r="H14" s="30"/>
      <c r="I14" s="30"/>
      <c r="J14" s="30"/>
      <c r="K14" s="30"/>
      <c r="L14" s="30"/>
    </row>
    <row r="15" spans="1:12" s="25" customFormat="1" ht="29.45" customHeight="1" thickBot="1" x14ac:dyDescent="0.35">
      <c r="A15" s="46">
        <v>20</v>
      </c>
      <c r="B15" s="47" t="s">
        <v>116</v>
      </c>
      <c r="C15" s="61">
        <v>620</v>
      </c>
      <c r="D15" s="48">
        <v>74</v>
      </c>
      <c r="E15" s="49" t="s">
        <v>71</v>
      </c>
      <c r="F15" s="48" t="s">
        <v>88</v>
      </c>
      <c r="G15" s="58">
        <v>2100</v>
      </c>
      <c r="H15" s="30"/>
      <c r="I15" s="30"/>
      <c r="J15" s="30"/>
      <c r="K15" s="30"/>
      <c r="L15" s="30"/>
    </row>
    <row r="16" spans="1:12" s="25" customFormat="1" ht="29.45" customHeight="1" thickBot="1" x14ac:dyDescent="0.35">
      <c r="A16" s="46">
        <v>23</v>
      </c>
      <c r="B16" s="47" t="s">
        <v>119</v>
      </c>
      <c r="C16" s="48">
        <v>620</v>
      </c>
      <c r="D16" s="48">
        <v>15</v>
      </c>
      <c r="E16" s="49" t="s">
        <v>40</v>
      </c>
      <c r="F16" s="48" t="s">
        <v>88</v>
      </c>
      <c r="G16" s="58">
        <v>0</v>
      </c>
      <c r="H16" s="30"/>
      <c r="I16" s="30"/>
      <c r="J16" s="30"/>
      <c r="K16" s="30"/>
      <c r="L16" s="30"/>
    </row>
    <row r="17" spans="1:12" s="25" customFormat="1" ht="29.45" customHeight="1" thickBot="1" x14ac:dyDescent="0.35">
      <c r="A17" s="46">
        <v>27</v>
      </c>
      <c r="B17" s="47" t="s">
        <v>123</v>
      </c>
      <c r="C17" s="61">
        <v>620</v>
      </c>
      <c r="D17" s="48">
        <v>72</v>
      </c>
      <c r="E17" s="49" t="s">
        <v>69</v>
      </c>
      <c r="F17" s="48" t="s">
        <v>88</v>
      </c>
      <c r="G17" s="58">
        <v>750</v>
      </c>
      <c r="H17" s="30"/>
      <c r="I17" s="30"/>
      <c r="J17" s="30"/>
      <c r="K17" s="30"/>
      <c r="L17" s="30"/>
    </row>
    <row r="18" spans="1:12" s="25" customFormat="1" ht="29.45" customHeight="1" thickBot="1" x14ac:dyDescent="0.35">
      <c r="A18" s="41">
        <v>47</v>
      </c>
      <c r="B18" s="42" t="s">
        <v>142</v>
      </c>
      <c r="C18" s="60">
        <v>620</v>
      </c>
      <c r="D18" s="43">
        <v>73</v>
      </c>
      <c r="E18" s="44" t="s">
        <v>70</v>
      </c>
      <c r="F18" s="43" t="s">
        <v>87</v>
      </c>
      <c r="G18" s="57">
        <v>0</v>
      </c>
      <c r="H18" s="30"/>
      <c r="I18" s="30"/>
      <c r="J18" s="30"/>
      <c r="K18" s="30"/>
      <c r="L18" s="30"/>
    </row>
    <row r="19" spans="1:12" s="25" customFormat="1" ht="29.45" customHeight="1" thickBot="1" x14ac:dyDescent="0.35">
      <c r="A19" s="41">
        <v>29</v>
      </c>
      <c r="B19" s="42" t="s">
        <v>125</v>
      </c>
      <c r="C19" s="60">
        <v>618</v>
      </c>
      <c r="D19" s="43">
        <v>14</v>
      </c>
      <c r="E19" s="44" t="s">
        <v>39</v>
      </c>
      <c r="F19" s="48" t="s">
        <v>88</v>
      </c>
      <c r="G19" s="57">
        <v>2385</v>
      </c>
      <c r="H19" s="30"/>
      <c r="I19" s="30"/>
      <c r="J19" s="30"/>
      <c r="K19" s="30"/>
      <c r="L19" s="30"/>
    </row>
    <row r="20" spans="1:12" s="25" customFormat="1" ht="29.45" customHeight="1" thickBot="1" x14ac:dyDescent="0.35">
      <c r="A20" s="41">
        <v>26</v>
      </c>
      <c r="B20" s="42" t="s">
        <v>122</v>
      </c>
      <c r="C20" s="60">
        <v>615</v>
      </c>
      <c r="D20" s="43">
        <v>14</v>
      </c>
      <c r="E20" s="44" t="s">
        <v>39</v>
      </c>
      <c r="F20" s="43" t="s">
        <v>88</v>
      </c>
      <c r="G20" s="57">
        <v>1800</v>
      </c>
      <c r="H20" s="30"/>
      <c r="I20" s="30"/>
      <c r="J20" s="30"/>
      <c r="K20" s="30"/>
      <c r="L20" s="30"/>
    </row>
    <row r="21" spans="1:12" s="25" customFormat="1" ht="29.45" customHeight="1" thickBot="1" x14ac:dyDescent="0.35">
      <c r="A21" s="94">
        <v>31</v>
      </c>
      <c r="B21" s="96" t="s">
        <v>127</v>
      </c>
      <c r="C21" s="97">
        <v>615</v>
      </c>
      <c r="D21" s="98">
        <v>12</v>
      </c>
      <c r="E21" s="99" t="s">
        <v>29</v>
      </c>
      <c r="F21" s="98" t="s">
        <v>88</v>
      </c>
      <c r="G21" s="59">
        <v>3285</v>
      </c>
      <c r="H21" s="30"/>
      <c r="I21" s="30"/>
      <c r="J21" s="30"/>
      <c r="K21" s="30"/>
      <c r="L21" s="30"/>
    </row>
    <row r="22" spans="1:12" s="25" customFormat="1" ht="29.45" customHeight="1" thickBot="1" x14ac:dyDescent="0.35">
      <c r="A22" s="46">
        <v>10</v>
      </c>
      <c r="B22" s="47" t="s">
        <v>106</v>
      </c>
      <c r="C22" s="61">
        <v>610</v>
      </c>
      <c r="D22" s="48">
        <v>46</v>
      </c>
      <c r="E22" s="49" t="s">
        <v>58</v>
      </c>
      <c r="F22" s="48" t="s">
        <v>88</v>
      </c>
      <c r="G22" s="58">
        <v>3165</v>
      </c>
      <c r="H22" s="30"/>
      <c r="I22" s="30"/>
      <c r="J22" s="30"/>
      <c r="K22" s="30"/>
      <c r="L22" s="30"/>
    </row>
    <row r="23" spans="1:12" s="25" customFormat="1" ht="29.45" customHeight="1" thickBot="1" x14ac:dyDescent="0.35">
      <c r="A23" s="46">
        <v>19</v>
      </c>
      <c r="B23" s="47" t="s">
        <v>115</v>
      </c>
      <c r="C23" s="61">
        <v>605</v>
      </c>
      <c r="D23" s="48">
        <v>102</v>
      </c>
      <c r="E23" s="49" t="s">
        <v>23</v>
      </c>
      <c r="F23" s="48" t="s">
        <v>88</v>
      </c>
      <c r="G23" s="58">
        <v>2890</v>
      </c>
      <c r="H23" s="30"/>
      <c r="I23" s="30"/>
      <c r="J23" s="30"/>
      <c r="K23" s="30"/>
      <c r="L23" s="30"/>
    </row>
    <row r="24" spans="1:12" s="25" customFormat="1" ht="29.45" customHeight="1" thickBot="1" x14ac:dyDescent="0.35">
      <c r="A24" s="46">
        <v>24</v>
      </c>
      <c r="B24" s="47" t="s">
        <v>120</v>
      </c>
      <c r="C24" s="61">
        <v>605</v>
      </c>
      <c r="D24" s="48">
        <v>45</v>
      </c>
      <c r="E24" s="49" t="s">
        <v>57</v>
      </c>
      <c r="F24" s="48" t="s">
        <v>88</v>
      </c>
      <c r="G24" s="58">
        <v>400</v>
      </c>
      <c r="H24" s="30"/>
      <c r="I24" s="30"/>
      <c r="J24" s="30"/>
      <c r="K24" s="30"/>
      <c r="L24" s="30"/>
    </row>
    <row r="25" spans="1:12" s="25" customFormat="1" ht="29.45" customHeight="1" thickBot="1" x14ac:dyDescent="0.35">
      <c r="A25" s="46">
        <v>13</v>
      </c>
      <c r="B25" s="47" t="s">
        <v>109</v>
      </c>
      <c r="C25" s="61">
        <v>603</v>
      </c>
      <c r="D25" s="48">
        <v>101</v>
      </c>
      <c r="E25" s="49" t="s">
        <v>22</v>
      </c>
      <c r="F25" s="48" t="s">
        <v>88</v>
      </c>
      <c r="G25" s="58">
        <v>800</v>
      </c>
      <c r="H25" s="30"/>
      <c r="I25" s="30"/>
      <c r="J25" s="30"/>
      <c r="K25" s="30"/>
      <c r="L25" s="30"/>
    </row>
    <row r="26" spans="1:12" s="25" customFormat="1" ht="29.45" customHeight="1" thickBot="1" x14ac:dyDescent="0.35">
      <c r="A26" s="46">
        <v>35</v>
      </c>
      <c r="B26" s="47" t="s">
        <v>131</v>
      </c>
      <c r="C26" s="61">
        <v>602</v>
      </c>
      <c r="D26" s="48">
        <v>102</v>
      </c>
      <c r="E26" s="49" t="s">
        <v>23</v>
      </c>
      <c r="F26" s="48" t="s">
        <v>88</v>
      </c>
      <c r="G26" s="58">
        <v>2100</v>
      </c>
      <c r="H26" s="30"/>
      <c r="I26" s="30"/>
      <c r="J26" s="30"/>
      <c r="K26" s="30"/>
      <c r="L26" s="30"/>
    </row>
    <row r="27" spans="1:12" s="25" customFormat="1" ht="29.45" customHeight="1" thickBot="1" x14ac:dyDescent="0.35">
      <c r="A27" s="46">
        <v>15</v>
      </c>
      <c r="B27" s="47" t="s">
        <v>111</v>
      </c>
      <c r="C27" s="61">
        <v>583</v>
      </c>
      <c r="D27" s="48">
        <v>73</v>
      </c>
      <c r="E27" s="49" t="s">
        <v>70</v>
      </c>
      <c r="F27" s="48" t="s">
        <v>88</v>
      </c>
      <c r="G27" s="58">
        <v>3945</v>
      </c>
      <c r="H27" s="30"/>
      <c r="I27" s="30"/>
      <c r="J27" s="30"/>
      <c r="K27" s="30"/>
      <c r="L27" s="30"/>
    </row>
    <row r="28" spans="1:12" s="25" customFormat="1" ht="29.45" customHeight="1" thickBot="1" x14ac:dyDescent="0.35">
      <c r="A28" s="46">
        <v>30</v>
      </c>
      <c r="B28" s="47" t="s">
        <v>126</v>
      </c>
      <c r="C28" s="61">
        <v>582</v>
      </c>
      <c r="D28" s="48">
        <v>12</v>
      </c>
      <c r="E28" s="49" t="s">
        <v>29</v>
      </c>
      <c r="F28" s="48" t="s">
        <v>88</v>
      </c>
      <c r="G28" s="58">
        <v>0</v>
      </c>
      <c r="H28" s="30"/>
      <c r="I28" s="30"/>
      <c r="J28" s="30"/>
      <c r="K28" s="30"/>
      <c r="L28" s="30"/>
    </row>
    <row r="29" spans="1:12" s="25" customFormat="1" ht="29.45" customHeight="1" thickBot="1" x14ac:dyDescent="0.35">
      <c r="A29" s="46">
        <v>34</v>
      </c>
      <c r="B29" s="47" t="s">
        <v>130</v>
      </c>
      <c r="C29" s="61">
        <v>576</v>
      </c>
      <c r="D29" s="48">
        <v>44</v>
      </c>
      <c r="E29" s="49" t="s">
        <v>56</v>
      </c>
      <c r="F29" s="48" t="s">
        <v>88</v>
      </c>
      <c r="G29" s="58">
        <v>1960</v>
      </c>
      <c r="H29" s="30"/>
      <c r="I29" s="30"/>
      <c r="J29" s="30"/>
      <c r="K29" s="30"/>
      <c r="L29" s="30"/>
    </row>
    <row r="30" spans="1:12" s="25" customFormat="1" ht="29.45" customHeight="1" thickBot="1" x14ac:dyDescent="0.35">
      <c r="A30" s="46">
        <v>32</v>
      </c>
      <c r="B30" s="47" t="s">
        <v>128</v>
      </c>
      <c r="C30" s="48">
        <v>562</v>
      </c>
      <c r="D30" s="48">
        <v>76</v>
      </c>
      <c r="E30" s="49" t="s">
        <v>73</v>
      </c>
      <c r="F30" s="48" t="s">
        <v>88</v>
      </c>
      <c r="G30" s="58">
        <v>0</v>
      </c>
      <c r="H30" s="30"/>
      <c r="I30" s="30"/>
      <c r="J30" s="30"/>
      <c r="K30" s="30"/>
      <c r="L30" s="30"/>
    </row>
    <row r="31" spans="1:12" s="25" customFormat="1" ht="29.45" customHeight="1" thickBot="1" x14ac:dyDescent="0.35">
      <c r="A31" s="46">
        <v>14</v>
      </c>
      <c r="B31" s="47" t="s">
        <v>110</v>
      </c>
      <c r="C31" s="61">
        <v>553</v>
      </c>
      <c r="D31" s="48">
        <v>12</v>
      </c>
      <c r="E31" s="49" t="s">
        <v>29</v>
      </c>
      <c r="F31" s="48" t="s">
        <v>88</v>
      </c>
      <c r="G31" s="58">
        <v>2100</v>
      </c>
      <c r="H31" s="30"/>
      <c r="I31" s="30"/>
      <c r="J31" s="30"/>
      <c r="K31" s="30"/>
      <c r="L31" s="30"/>
    </row>
    <row r="32" spans="1:12" s="25" customFormat="1" ht="29.45" customHeight="1" thickBot="1" x14ac:dyDescent="0.35">
      <c r="A32" s="54">
        <v>41</v>
      </c>
      <c r="B32" s="55" t="s">
        <v>136</v>
      </c>
      <c r="C32" s="57">
        <v>544</v>
      </c>
      <c r="D32" s="45">
        <v>71</v>
      </c>
      <c r="E32" s="56" t="s">
        <v>68</v>
      </c>
      <c r="F32" s="45" t="s">
        <v>88</v>
      </c>
      <c r="G32" s="57">
        <v>450</v>
      </c>
      <c r="H32" s="30"/>
      <c r="I32" s="30"/>
      <c r="J32" s="30"/>
      <c r="K32" s="30"/>
      <c r="L32" s="30"/>
    </row>
    <row r="33" spans="1:12" s="25" customFormat="1" ht="29.45" customHeight="1" thickBot="1" x14ac:dyDescent="0.35">
      <c r="A33" s="51">
        <v>21</v>
      </c>
      <c r="B33" s="52" t="s">
        <v>117</v>
      </c>
      <c r="C33" s="58">
        <v>538</v>
      </c>
      <c r="D33" s="50">
        <v>44</v>
      </c>
      <c r="E33" s="53" t="s">
        <v>56</v>
      </c>
      <c r="F33" s="50" t="s">
        <v>88</v>
      </c>
      <c r="G33" s="58">
        <v>0</v>
      </c>
      <c r="H33" s="30"/>
      <c r="I33" s="30"/>
      <c r="J33" s="30"/>
      <c r="K33" s="30"/>
      <c r="L33" s="30"/>
    </row>
    <row r="34" spans="1:12" s="25" customFormat="1" ht="29.45" customHeight="1" thickBot="1" x14ac:dyDescent="0.35">
      <c r="A34" s="51">
        <v>11</v>
      </c>
      <c r="B34" s="52" t="s">
        <v>107</v>
      </c>
      <c r="C34" s="58">
        <v>526</v>
      </c>
      <c r="D34" s="50">
        <v>163</v>
      </c>
      <c r="E34" s="53" t="s">
        <v>46</v>
      </c>
      <c r="F34" s="50" t="s">
        <v>88</v>
      </c>
      <c r="G34" s="58">
        <v>0</v>
      </c>
      <c r="H34" s="30"/>
      <c r="I34" s="30"/>
      <c r="J34" s="30"/>
      <c r="K34" s="30"/>
      <c r="L34" s="30"/>
    </row>
    <row r="35" spans="1:12" s="25" customFormat="1" ht="29.45" customHeight="1" thickBot="1" x14ac:dyDescent="0.35">
      <c r="A35" s="51">
        <v>16</v>
      </c>
      <c r="B35" s="52" t="s">
        <v>112</v>
      </c>
      <c r="C35" s="58">
        <v>512</v>
      </c>
      <c r="D35" s="50">
        <v>74</v>
      </c>
      <c r="E35" s="53" t="s">
        <v>71</v>
      </c>
      <c r="F35" s="50" t="s">
        <v>88</v>
      </c>
      <c r="G35" s="58">
        <v>1200</v>
      </c>
      <c r="H35" s="30"/>
      <c r="I35" s="30"/>
      <c r="J35" s="30"/>
      <c r="K35" s="30"/>
      <c r="L35" s="30"/>
    </row>
    <row r="36" spans="1:12" s="25" customFormat="1" ht="29.45" customHeight="1" thickBot="1" x14ac:dyDescent="0.35">
      <c r="A36" s="54">
        <v>9</v>
      </c>
      <c r="B36" s="55" t="s">
        <v>105</v>
      </c>
      <c r="C36" s="57">
        <v>504</v>
      </c>
      <c r="D36" s="45">
        <v>14</v>
      </c>
      <c r="E36" s="56" t="s">
        <v>39</v>
      </c>
      <c r="F36" s="45" t="s">
        <v>88</v>
      </c>
      <c r="G36" s="57">
        <v>3150</v>
      </c>
      <c r="H36" s="30"/>
      <c r="I36" s="30"/>
      <c r="J36" s="30"/>
      <c r="K36" s="30"/>
      <c r="L36" s="30"/>
    </row>
    <row r="37" spans="1:12" s="25" customFormat="1" ht="29.45" customHeight="1" thickBot="1" x14ac:dyDescent="0.35">
      <c r="A37" s="51">
        <v>22</v>
      </c>
      <c r="B37" s="52" t="s">
        <v>118</v>
      </c>
      <c r="C37" s="58">
        <v>488</v>
      </c>
      <c r="D37" s="50">
        <v>72</v>
      </c>
      <c r="E37" s="53" t="s">
        <v>69</v>
      </c>
      <c r="F37" s="50" t="s">
        <v>88</v>
      </c>
      <c r="G37" s="58">
        <v>2885</v>
      </c>
      <c r="H37" s="30"/>
      <c r="I37" s="30"/>
      <c r="J37" s="30"/>
      <c r="K37" s="30"/>
      <c r="L37" s="30"/>
    </row>
    <row r="38" spans="1:12" s="25" customFormat="1" ht="29.45" customHeight="1" thickBot="1" x14ac:dyDescent="0.35">
      <c r="A38" s="51">
        <v>3</v>
      </c>
      <c r="B38" s="52" t="s">
        <v>99</v>
      </c>
      <c r="C38" s="58">
        <v>479</v>
      </c>
      <c r="D38" s="50">
        <v>104</v>
      </c>
      <c r="E38" s="53" t="s">
        <v>25</v>
      </c>
      <c r="F38" s="50" t="s">
        <v>88</v>
      </c>
      <c r="G38" s="58">
        <v>250</v>
      </c>
      <c r="H38" s="30"/>
      <c r="I38" s="30"/>
      <c r="J38" s="30"/>
      <c r="K38" s="30"/>
      <c r="L38" s="30"/>
    </row>
    <row r="39" spans="1:12" s="25" customFormat="1" ht="29.45" customHeight="1" thickBot="1" x14ac:dyDescent="0.35">
      <c r="A39" s="51">
        <v>6</v>
      </c>
      <c r="B39" s="52" t="s">
        <v>102</v>
      </c>
      <c r="C39" s="58">
        <v>475</v>
      </c>
      <c r="D39" s="50">
        <v>106</v>
      </c>
      <c r="E39" s="53" t="s">
        <v>27</v>
      </c>
      <c r="F39" s="50" t="s">
        <v>88</v>
      </c>
      <c r="G39" s="58">
        <v>2800</v>
      </c>
      <c r="H39" s="30"/>
      <c r="I39" s="30"/>
      <c r="J39" s="30"/>
      <c r="K39" s="30"/>
      <c r="L39" s="30"/>
    </row>
    <row r="40" spans="1:12" s="25" customFormat="1" ht="29.45" customHeight="1" thickBot="1" x14ac:dyDescent="0.35">
      <c r="A40" s="54">
        <v>4</v>
      </c>
      <c r="B40" s="55" t="s">
        <v>100</v>
      </c>
      <c r="C40" s="57">
        <v>464</v>
      </c>
      <c r="D40" s="45">
        <v>11</v>
      </c>
      <c r="E40" s="56" t="s">
        <v>28</v>
      </c>
      <c r="F40" s="45" t="s">
        <v>88</v>
      </c>
      <c r="G40" s="57">
        <v>2300</v>
      </c>
      <c r="H40" s="30"/>
      <c r="I40" s="30"/>
      <c r="J40" s="30"/>
      <c r="K40" s="30"/>
      <c r="L40" s="30"/>
    </row>
    <row r="41" spans="1:12" s="25" customFormat="1" ht="29.45" customHeight="1" thickBot="1" x14ac:dyDescent="0.35">
      <c r="A41" s="51">
        <v>37</v>
      </c>
      <c r="B41" s="52" t="s">
        <v>90</v>
      </c>
      <c r="C41" s="58">
        <v>463</v>
      </c>
      <c r="D41" s="50">
        <v>11</v>
      </c>
      <c r="E41" s="53" t="s">
        <v>28</v>
      </c>
      <c r="F41" s="50" t="s">
        <v>88</v>
      </c>
      <c r="G41" s="58">
        <v>0</v>
      </c>
      <c r="H41" s="30"/>
      <c r="I41" s="30"/>
      <c r="J41" s="30"/>
      <c r="K41" s="30"/>
      <c r="L41" s="30"/>
    </row>
    <row r="42" spans="1:12" s="25" customFormat="1" ht="29.45" customHeight="1" thickBot="1" x14ac:dyDescent="0.35">
      <c r="A42" s="51">
        <v>17</v>
      </c>
      <c r="B42" s="52" t="s">
        <v>113</v>
      </c>
      <c r="C42" s="58">
        <v>456</v>
      </c>
      <c r="D42" s="50">
        <v>13</v>
      </c>
      <c r="E42" s="53" t="s">
        <v>19</v>
      </c>
      <c r="F42" s="50" t="s">
        <v>88</v>
      </c>
      <c r="G42" s="58">
        <v>2100</v>
      </c>
      <c r="H42" s="30"/>
      <c r="I42" s="30"/>
      <c r="J42" s="30"/>
      <c r="K42" s="30"/>
      <c r="L42" s="30"/>
    </row>
    <row r="43" spans="1:12" s="25" customFormat="1" ht="29.45" customHeight="1" thickBot="1" x14ac:dyDescent="0.35">
      <c r="A43" s="51">
        <v>42</v>
      </c>
      <c r="B43" s="52" t="s">
        <v>137</v>
      </c>
      <c r="C43" s="90">
        <v>455</v>
      </c>
      <c r="D43" s="50">
        <v>161</v>
      </c>
      <c r="E43" s="53" t="s">
        <v>45</v>
      </c>
      <c r="F43" s="50" t="s">
        <v>88</v>
      </c>
      <c r="G43" s="64">
        <v>4320</v>
      </c>
      <c r="H43" s="30"/>
      <c r="I43" s="30"/>
      <c r="J43" s="30"/>
      <c r="K43" s="30"/>
      <c r="L43" s="30"/>
    </row>
    <row r="44" spans="1:12" s="25" customFormat="1" ht="29.45" customHeight="1" thickBot="1" x14ac:dyDescent="0.35">
      <c r="A44" s="51">
        <v>43</v>
      </c>
      <c r="B44" s="52" t="s">
        <v>138</v>
      </c>
      <c r="C44" s="58">
        <v>453</v>
      </c>
      <c r="D44" s="50">
        <v>14</v>
      </c>
      <c r="E44" s="53" t="s">
        <v>39</v>
      </c>
      <c r="F44" s="50" t="s">
        <v>88</v>
      </c>
      <c r="G44" s="58">
        <v>0</v>
      </c>
      <c r="H44" s="30"/>
      <c r="I44" s="30"/>
      <c r="J44" s="30"/>
      <c r="K44" s="30"/>
      <c r="L44" s="30"/>
    </row>
    <row r="45" spans="1:12" s="25" customFormat="1" ht="29.45" customHeight="1" thickBot="1" x14ac:dyDescent="0.35">
      <c r="A45" s="51">
        <v>12</v>
      </c>
      <c r="B45" s="52" t="s">
        <v>108</v>
      </c>
      <c r="C45" s="58">
        <v>445</v>
      </c>
      <c r="D45" s="50">
        <v>135</v>
      </c>
      <c r="E45" s="53" t="s">
        <v>38</v>
      </c>
      <c r="F45" s="50" t="s">
        <v>88</v>
      </c>
      <c r="G45" s="58">
        <v>4477</v>
      </c>
      <c r="H45" s="30"/>
      <c r="I45" s="30"/>
      <c r="J45" s="30"/>
      <c r="K45" s="30"/>
      <c r="L45" s="30"/>
    </row>
    <row r="46" spans="1:12" s="25" customFormat="1" ht="29.45" customHeight="1" thickBot="1" x14ac:dyDescent="0.35">
      <c r="A46" s="51">
        <v>40</v>
      </c>
      <c r="B46" s="52" t="s">
        <v>135</v>
      </c>
      <c r="C46" s="58">
        <v>443</v>
      </c>
      <c r="D46" s="50">
        <v>72</v>
      </c>
      <c r="E46" s="53" t="s">
        <v>69</v>
      </c>
      <c r="F46" s="50" t="s">
        <v>88</v>
      </c>
      <c r="G46" s="58">
        <v>1460</v>
      </c>
      <c r="H46" s="30"/>
      <c r="I46" s="30"/>
      <c r="J46" s="30"/>
      <c r="K46" s="30"/>
      <c r="L46" s="30"/>
    </row>
    <row r="47" spans="1:12" s="25" customFormat="1" ht="29.45" customHeight="1" thickBot="1" x14ac:dyDescent="0.35">
      <c r="A47" s="51">
        <v>45</v>
      </c>
      <c r="B47" s="52" t="s">
        <v>140</v>
      </c>
      <c r="C47" s="58">
        <v>439</v>
      </c>
      <c r="D47" s="50">
        <v>75</v>
      </c>
      <c r="E47" s="53" t="s">
        <v>72</v>
      </c>
      <c r="F47" s="50" t="s">
        <v>88</v>
      </c>
      <c r="G47" s="58">
        <v>0</v>
      </c>
      <c r="H47" s="30"/>
      <c r="I47" s="30"/>
      <c r="J47" s="30"/>
      <c r="K47" s="30"/>
      <c r="L47" s="30"/>
    </row>
    <row r="48" spans="1:12" s="25" customFormat="1" ht="29.45" customHeight="1" thickBot="1" x14ac:dyDescent="0.35">
      <c r="A48" s="51">
        <v>38</v>
      </c>
      <c r="B48" s="52" t="s">
        <v>133</v>
      </c>
      <c r="C48" s="58">
        <v>436</v>
      </c>
      <c r="D48" s="50">
        <v>135</v>
      </c>
      <c r="E48" s="53" t="s">
        <v>38</v>
      </c>
      <c r="F48" s="50" t="s">
        <v>88</v>
      </c>
      <c r="G48" s="58">
        <v>150</v>
      </c>
      <c r="H48" s="30"/>
      <c r="I48" s="30"/>
      <c r="J48" s="30"/>
      <c r="K48" s="30"/>
      <c r="L48" s="30"/>
    </row>
    <row r="49" spans="1:12" s="25" customFormat="1" ht="29.45" customHeight="1" thickBot="1" x14ac:dyDescent="0.35">
      <c r="A49" s="54">
        <v>5</v>
      </c>
      <c r="B49" s="55" t="s">
        <v>101</v>
      </c>
      <c r="C49" s="57">
        <v>429</v>
      </c>
      <c r="D49" s="45">
        <v>71</v>
      </c>
      <c r="E49" s="53" t="s">
        <v>68</v>
      </c>
      <c r="F49" s="45" t="s">
        <v>88</v>
      </c>
      <c r="G49" s="57">
        <v>4000</v>
      </c>
      <c r="H49" s="30"/>
      <c r="I49" s="30"/>
      <c r="J49" s="30"/>
      <c r="K49" s="30"/>
      <c r="L49" s="30"/>
    </row>
    <row r="50" spans="1:12" s="25" customFormat="1" ht="29.45" customHeight="1" thickBot="1" x14ac:dyDescent="0.35">
      <c r="A50" s="51">
        <v>39</v>
      </c>
      <c r="B50" s="52" t="s">
        <v>134</v>
      </c>
      <c r="C50" s="58">
        <v>427</v>
      </c>
      <c r="D50" s="50">
        <v>14</v>
      </c>
      <c r="E50" s="53" t="s">
        <v>39</v>
      </c>
      <c r="F50" s="50" t="s">
        <v>88</v>
      </c>
      <c r="G50" s="58">
        <v>0</v>
      </c>
      <c r="H50" s="30"/>
      <c r="I50" s="30"/>
      <c r="J50" s="30"/>
      <c r="K50" s="30"/>
      <c r="L50" s="30"/>
    </row>
    <row r="51" spans="1:12" s="25" customFormat="1" ht="29.45" customHeight="1" thickBot="1" x14ac:dyDescent="0.35">
      <c r="A51" s="54">
        <v>33</v>
      </c>
      <c r="B51" s="55" t="s">
        <v>129</v>
      </c>
      <c r="C51" s="57">
        <v>425</v>
      </c>
      <c r="D51" s="45">
        <v>103</v>
      </c>
      <c r="E51" s="56" t="s">
        <v>24</v>
      </c>
      <c r="F51" s="45" t="s">
        <v>88</v>
      </c>
      <c r="G51" s="57">
        <v>900</v>
      </c>
      <c r="H51" s="30"/>
      <c r="I51" s="30"/>
      <c r="J51" s="30"/>
      <c r="K51" s="30"/>
      <c r="L51" s="30"/>
    </row>
    <row r="52" spans="1:12" s="25" customFormat="1" ht="29.45" customHeight="1" thickBot="1" x14ac:dyDescent="0.35">
      <c r="A52" s="54">
        <v>7</v>
      </c>
      <c r="B52" s="55" t="s">
        <v>103</v>
      </c>
      <c r="C52" s="57">
        <v>401</v>
      </c>
      <c r="D52" s="45">
        <v>73</v>
      </c>
      <c r="E52" s="56" t="s">
        <v>70</v>
      </c>
      <c r="F52" s="45" t="s">
        <v>88</v>
      </c>
      <c r="G52" s="57">
        <v>1820</v>
      </c>
      <c r="H52" s="30"/>
      <c r="I52" s="30"/>
      <c r="J52" s="30"/>
      <c r="K52" s="30"/>
      <c r="L52" s="30"/>
    </row>
    <row r="53" spans="1:12" ht="29.45" customHeight="1" x14ac:dyDescent="0.3"/>
    <row r="54" spans="1:12" ht="29.45" customHeight="1" x14ac:dyDescent="0.3"/>
    <row r="55" spans="1:12" ht="29.45" customHeight="1" x14ac:dyDescent="0.3"/>
    <row r="56" spans="1:12" ht="29.45" customHeight="1" x14ac:dyDescent="0.3"/>
    <row r="57" spans="1:12" ht="29.45" customHeight="1" x14ac:dyDescent="0.3"/>
    <row r="58" spans="1:12" ht="29.45" customHeight="1" x14ac:dyDescent="0.3"/>
    <row r="59" spans="1:12" ht="29.45" customHeight="1" x14ac:dyDescent="0.3"/>
    <row r="60" spans="1:12" ht="29.45" customHeight="1" x14ac:dyDescent="0.3"/>
    <row r="61" spans="1:12" ht="29.45" customHeight="1" x14ac:dyDescent="0.3"/>
    <row r="62" spans="1:12" ht="29.45" customHeight="1" x14ac:dyDescent="0.3"/>
    <row r="63" spans="1:12" ht="29.45" customHeight="1" x14ac:dyDescent="0.3"/>
    <row r="64" spans="1:12" ht="29.45" customHeight="1" x14ac:dyDescent="0.3"/>
    <row r="65" ht="29.45" customHeight="1" x14ac:dyDescent="0.3"/>
    <row r="66" ht="29.45" customHeight="1" x14ac:dyDescent="0.3"/>
    <row r="67" ht="29.45" customHeight="1" x14ac:dyDescent="0.3"/>
    <row r="68" ht="29.45" customHeight="1" x14ac:dyDescent="0.3"/>
    <row r="69" ht="29.45" customHeight="1" x14ac:dyDescent="0.3"/>
    <row r="70" ht="29.45" customHeight="1" x14ac:dyDescent="0.3"/>
    <row r="71" ht="29.45" customHeight="1" x14ac:dyDescent="0.3"/>
    <row r="72" ht="29.45" customHeight="1" x14ac:dyDescent="0.3"/>
    <row r="73" ht="29.45" customHeight="1" x14ac:dyDescent="0.3"/>
    <row r="74" ht="29.45" customHeight="1" x14ac:dyDescent="0.3"/>
    <row r="75" ht="29.45" customHeight="1" x14ac:dyDescent="0.3"/>
    <row r="76" ht="29.45" customHeight="1" x14ac:dyDescent="0.3"/>
    <row r="77" ht="29.45" customHeight="1" x14ac:dyDescent="0.3"/>
    <row r="78" ht="29.45" customHeight="1" x14ac:dyDescent="0.3"/>
    <row r="79" ht="29.45" customHeight="1" x14ac:dyDescent="0.3"/>
    <row r="80" ht="29.45" customHeight="1" x14ac:dyDescent="0.3"/>
    <row r="81" ht="29.45" customHeight="1" x14ac:dyDescent="0.3"/>
    <row r="82" ht="29.45" customHeight="1" x14ac:dyDescent="0.3"/>
    <row r="83" ht="29.45" customHeight="1" x14ac:dyDescent="0.3"/>
    <row r="84" ht="29.45" customHeight="1" x14ac:dyDescent="0.3"/>
    <row r="85" ht="29.45" customHeight="1" x14ac:dyDescent="0.3"/>
    <row r="86" ht="29.45" customHeight="1" x14ac:dyDescent="0.3"/>
    <row r="87" ht="29.45" customHeight="1" x14ac:dyDescent="0.3"/>
    <row r="88" ht="29.45" customHeight="1" x14ac:dyDescent="0.3"/>
    <row r="89" ht="29.45" customHeight="1" x14ac:dyDescent="0.3"/>
    <row r="90" ht="29.45" customHeight="1" x14ac:dyDescent="0.3"/>
    <row r="91" ht="29.45" customHeight="1" x14ac:dyDescent="0.3"/>
    <row r="92" ht="29.45" customHeight="1" x14ac:dyDescent="0.3"/>
    <row r="93" ht="29.45" customHeight="1" x14ac:dyDescent="0.3"/>
    <row r="94" ht="29.45" customHeight="1" x14ac:dyDescent="0.3"/>
    <row r="95" ht="29.45" customHeight="1" x14ac:dyDescent="0.3"/>
    <row r="96" ht="29.45" customHeight="1" x14ac:dyDescent="0.3"/>
    <row r="97" ht="29.45" customHeight="1" x14ac:dyDescent="0.3"/>
    <row r="98" ht="29.45" customHeight="1" x14ac:dyDescent="0.3"/>
  </sheetData>
  <sheetProtection selectLockedCells="1"/>
  <sortState xmlns:xlrd2="http://schemas.microsoft.com/office/spreadsheetml/2017/richdata2" ref="A2:G51">
    <sortCondition ref="C3"/>
  </sortState>
  <dataConsolidate/>
  <mergeCells count="1">
    <mergeCell ref="A1:G1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etup_members.ParseMembers">
                <anchor moveWithCells="1" sizeWithCells="1">
                  <from>
                    <xdr:col>8</xdr:col>
                    <xdr:colOff>66502</xdr:colOff>
                    <xdr:row>0</xdr:row>
                    <xdr:rowOff>58189</xdr:rowOff>
                  </from>
                  <to>
                    <xdr:col>8</xdr:col>
                    <xdr:colOff>3059084</xdr:colOff>
                    <xdr:row>0</xdr:row>
                    <xdr:rowOff>656705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CE79D-7F1E-4ACA-A327-5CB1EA1E9757}">
  <sheetPr codeName="Tabelle6">
    <tabColor theme="4" tint="-0.249977111117893"/>
  </sheetPr>
  <dimension ref="A1:V51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L12" sqref="L12"/>
    </sheetView>
  </sheetViews>
  <sheetFormatPr baseColWidth="10" defaultRowHeight="15.05" x14ac:dyDescent="0.3"/>
  <cols>
    <col min="1" max="1" width="16.21875" style="24" bestFit="1" customWidth="1"/>
    <col min="2" max="2" width="20.5546875" style="24" customWidth="1"/>
    <col min="3" max="3" width="7.44140625" style="22" bestFit="1" customWidth="1"/>
    <col min="4" max="9" width="7.44140625" style="69" bestFit="1" customWidth="1"/>
    <col min="10" max="22" width="7.44140625" style="22" bestFit="1" customWidth="1"/>
    <col min="23" max="16384" width="11.5546875" style="69"/>
  </cols>
  <sheetData>
    <row r="1" spans="1:22" s="79" customFormat="1" ht="60.9" customHeight="1" thickBot="1" x14ac:dyDescent="0.3">
      <c r="A1" s="82" t="s">
        <v>91</v>
      </c>
      <c r="B1" s="83" t="s">
        <v>158</v>
      </c>
      <c r="C1" s="80" t="s">
        <v>149</v>
      </c>
      <c r="D1" s="81" t="s">
        <v>150</v>
      </c>
      <c r="E1" s="81" t="s">
        <v>151</v>
      </c>
      <c r="F1" s="81" t="s">
        <v>152</v>
      </c>
      <c r="G1" s="81" t="s">
        <v>153</v>
      </c>
      <c r="H1" s="81" t="s">
        <v>154</v>
      </c>
      <c r="I1" s="81" t="s">
        <v>155</v>
      </c>
      <c r="J1" s="80" t="s">
        <v>156</v>
      </c>
      <c r="K1" s="80" t="s">
        <v>157</v>
      </c>
      <c r="L1" s="80" t="s">
        <v>161</v>
      </c>
      <c r="M1" s="80" t="s">
        <v>162</v>
      </c>
      <c r="N1" s="80" t="s">
        <v>163</v>
      </c>
      <c r="O1" s="80" t="s">
        <v>164</v>
      </c>
      <c r="P1" s="80" t="s">
        <v>165</v>
      </c>
      <c r="Q1" s="80" t="s">
        <v>166</v>
      </c>
      <c r="R1" s="80" t="s">
        <v>169</v>
      </c>
      <c r="S1" s="80" t="s">
        <v>170</v>
      </c>
      <c r="T1" s="80" t="s">
        <v>171</v>
      </c>
      <c r="U1" s="80" t="s">
        <v>172</v>
      </c>
      <c r="V1" s="80" t="s">
        <v>173</v>
      </c>
    </row>
    <row r="2" spans="1:22" s="70" customFormat="1" ht="28.8" customHeight="1" thickTop="1" x14ac:dyDescent="0.3">
      <c r="A2" s="71" t="s">
        <v>144</v>
      </c>
      <c r="B2" s="72"/>
      <c r="C2" s="73">
        <v>2210</v>
      </c>
      <c r="D2" s="73">
        <v>1820</v>
      </c>
      <c r="E2" s="73">
        <v>3810</v>
      </c>
      <c r="F2" s="73">
        <v>3810</v>
      </c>
      <c r="G2" s="73">
        <v>750</v>
      </c>
      <c r="H2" s="73">
        <v>3810</v>
      </c>
      <c r="I2" s="73">
        <v>3810</v>
      </c>
      <c r="J2" s="73">
        <v>3910</v>
      </c>
      <c r="K2" s="73">
        <v>666</v>
      </c>
      <c r="L2" s="73">
        <v>750</v>
      </c>
      <c r="M2" s="73">
        <v>750</v>
      </c>
      <c r="N2" s="73">
        <v>2666</v>
      </c>
      <c r="O2" s="73">
        <v>2666</v>
      </c>
      <c r="P2" s="73">
        <v>2666</v>
      </c>
      <c r="Q2" s="73">
        <v>2666</v>
      </c>
      <c r="R2" s="73">
        <v>3215</v>
      </c>
      <c r="S2" s="73">
        <v>295</v>
      </c>
      <c r="T2" s="73">
        <v>2100</v>
      </c>
      <c r="U2" s="73"/>
      <c r="V2" s="73">
        <v>0</v>
      </c>
    </row>
    <row r="3" spans="1:22" s="70" customFormat="1" ht="28.8" customHeight="1" x14ac:dyDescent="0.3">
      <c r="A3" s="74" t="s">
        <v>145</v>
      </c>
      <c r="B3" s="75"/>
      <c r="C3" s="76">
        <v>3305</v>
      </c>
      <c r="D3" s="76">
        <v>1800</v>
      </c>
      <c r="E3" s="76">
        <v>3788</v>
      </c>
      <c r="F3" s="76">
        <v>3305</v>
      </c>
      <c r="G3" s="76">
        <v>2100</v>
      </c>
      <c r="H3" s="76">
        <v>3305</v>
      </c>
      <c r="I3" s="76">
        <v>3305</v>
      </c>
      <c r="J3" s="76">
        <v>3305</v>
      </c>
      <c r="K3" s="76">
        <v>2100</v>
      </c>
      <c r="L3" s="76">
        <v>2100</v>
      </c>
      <c r="M3" s="76">
        <v>2100</v>
      </c>
      <c r="N3" s="76">
        <v>3810</v>
      </c>
      <c r="O3" s="76">
        <v>3810</v>
      </c>
      <c r="P3" s="76">
        <v>3810</v>
      </c>
      <c r="Q3" s="76">
        <v>3810</v>
      </c>
      <c r="R3" s="76">
        <v>4005</v>
      </c>
      <c r="S3" s="76">
        <v>2100</v>
      </c>
      <c r="T3" s="76">
        <v>295</v>
      </c>
      <c r="U3" s="76">
        <v>0</v>
      </c>
      <c r="V3" s="76">
        <v>0</v>
      </c>
    </row>
    <row r="4" spans="1:22" s="70" customFormat="1" ht="28.8" customHeight="1" x14ac:dyDescent="0.3">
      <c r="A4" s="71" t="s">
        <v>139</v>
      </c>
      <c r="B4" s="77"/>
      <c r="C4" s="73">
        <v>1222</v>
      </c>
      <c r="D4" s="73">
        <v>0</v>
      </c>
      <c r="E4" s="73">
        <v>3150</v>
      </c>
      <c r="F4" s="73">
        <v>2111</v>
      </c>
      <c r="G4" s="73">
        <v>2111</v>
      </c>
      <c r="H4" s="73">
        <v>3150</v>
      </c>
      <c r="I4" s="73">
        <v>3150</v>
      </c>
      <c r="J4" s="73">
        <v>1555</v>
      </c>
      <c r="K4" s="73">
        <v>2100</v>
      </c>
      <c r="L4" s="73">
        <v>2111</v>
      </c>
      <c r="M4" s="73">
        <v>2111</v>
      </c>
      <c r="N4" s="73">
        <v>3150</v>
      </c>
      <c r="O4" s="73">
        <v>3150</v>
      </c>
      <c r="P4" s="73">
        <v>3150</v>
      </c>
      <c r="Q4" s="73">
        <v>3150</v>
      </c>
      <c r="R4" s="73">
        <v>150</v>
      </c>
      <c r="S4" s="73">
        <v>0</v>
      </c>
      <c r="T4" s="73">
        <v>0</v>
      </c>
      <c r="U4" s="73"/>
      <c r="V4" s="73">
        <v>2835</v>
      </c>
    </row>
    <row r="5" spans="1:22" s="70" customFormat="1" ht="28.8" customHeight="1" x14ac:dyDescent="0.3">
      <c r="A5" s="74" t="s">
        <v>143</v>
      </c>
      <c r="B5" s="75"/>
      <c r="C5" s="76">
        <v>3450</v>
      </c>
      <c r="D5" s="76">
        <v>3450</v>
      </c>
      <c r="E5" s="76">
        <v>3450</v>
      </c>
      <c r="F5" s="76">
        <v>3450</v>
      </c>
      <c r="G5" s="76">
        <v>0</v>
      </c>
      <c r="H5" s="76">
        <v>3450</v>
      </c>
      <c r="I5" s="76">
        <v>3450</v>
      </c>
      <c r="J5" s="76">
        <v>3450</v>
      </c>
      <c r="K5" s="76">
        <v>0</v>
      </c>
      <c r="L5" s="76">
        <v>0</v>
      </c>
      <c r="M5" s="76">
        <v>0</v>
      </c>
      <c r="N5" s="76">
        <v>3450</v>
      </c>
      <c r="O5" s="76">
        <v>3450</v>
      </c>
      <c r="P5" s="76">
        <v>3450</v>
      </c>
      <c r="Q5" s="76">
        <v>3450</v>
      </c>
      <c r="R5" s="76">
        <v>1200</v>
      </c>
      <c r="S5" s="76">
        <v>3800</v>
      </c>
      <c r="T5" s="76">
        <v>3800</v>
      </c>
      <c r="U5" s="76"/>
      <c r="V5" s="76">
        <v>0</v>
      </c>
    </row>
    <row r="6" spans="1:22" s="70" customFormat="1" ht="28.8" customHeight="1" x14ac:dyDescent="0.3">
      <c r="A6" s="71" t="s">
        <v>114</v>
      </c>
      <c r="B6" s="77"/>
      <c r="C6" s="73">
        <v>1500</v>
      </c>
      <c r="D6" s="73">
        <v>3150</v>
      </c>
      <c r="E6" s="73">
        <v>1500</v>
      </c>
      <c r="F6" s="73">
        <v>9</v>
      </c>
      <c r="G6" s="73">
        <v>2200</v>
      </c>
      <c r="H6" s="73">
        <v>1500</v>
      </c>
      <c r="I6" s="73">
        <v>1500</v>
      </c>
      <c r="J6" s="73">
        <v>1500</v>
      </c>
      <c r="K6" s="73">
        <v>2200</v>
      </c>
      <c r="L6" s="73">
        <v>2200</v>
      </c>
      <c r="M6" s="73">
        <v>2200</v>
      </c>
      <c r="N6" s="73">
        <v>1500</v>
      </c>
      <c r="O6" s="73">
        <v>1500</v>
      </c>
      <c r="P6" s="73">
        <v>1500</v>
      </c>
      <c r="Q6" s="73">
        <v>1500</v>
      </c>
      <c r="R6" s="73">
        <v>655</v>
      </c>
      <c r="S6" s="73">
        <v>2000</v>
      </c>
      <c r="T6" s="73">
        <v>1090</v>
      </c>
      <c r="U6" s="73"/>
      <c r="V6" s="73">
        <v>3445</v>
      </c>
    </row>
    <row r="7" spans="1:22" s="70" customFormat="1" ht="28.8" customHeight="1" x14ac:dyDescent="0.3">
      <c r="A7" s="74" t="s">
        <v>104</v>
      </c>
      <c r="B7" s="75"/>
      <c r="C7" s="76">
        <v>2800</v>
      </c>
      <c r="D7" s="76">
        <v>0</v>
      </c>
      <c r="E7" s="76">
        <v>2800</v>
      </c>
      <c r="F7" s="76">
        <v>2800</v>
      </c>
      <c r="G7" s="76">
        <v>2800</v>
      </c>
      <c r="H7" s="76">
        <v>2800</v>
      </c>
      <c r="I7" s="76">
        <v>3778</v>
      </c>
      <c r="J7" s="76">
        <v>2800</v>
      </c>
      <c r="K7" s="76">
        <v>2800</v>
      </c>
      <c r="L7" s="76">
        <v>2800</v>
      </c>
      <c r="M7" s="76">
        <v>2800</v>
      </c>
      <c r="N7" s="76">
        <v>2800</v>
      </c>
      <c r="O7" s="76">
        <v>2800</v>
      </c>
      <c r="P7" s="76">
        <v>2800</v>
      </c>
      <c r="Q7" s="76">
        <v>2800</v>
      </c>
      <c r="R7" s="76">
        <v>4605</v>
      </c>
      <c r="S7" s="76">
        <v>4605</v>
      </c>
      <c r="T7" s="76">
        <v>4605</v>
      </c>
      <c r="U7" s="76">
        <v>4605</v>
      </c>
      <c r="V7" s="76">
        <v>3150</v>
      </c>
    </row>
    <row r="8" spans="1:22" s="70" customFormat="1" ht="28.8" customHeight="1" x14ac:dyDescent="0.3">
      <c r="A8" s="71" t="s">
        <v>121</v>
      </c>
      <c r="B8" s="77"/>
      <c r="C8" s="73">
        <v>1820</v>
      </c>
      <c r="D8" s="73">
        <v>0</v>
      </c>
      <c r="E8" s="73">
        <v>1820</v>
      </c>
      <c r="F8" s="73">
        <v>1820</v>
      </c>
      <c r="G8" s="73">
        <v>4320</v>
      </c>
      <c r="H8" s="73">
        <v>1820</v>
      </c>
      <c r="I8" s="73">
        <v>1820</v>
      </c>
      <c r="J8" s="73">
        <v>1820</v>
      </c>
      <c r="K8" s="73">
        <v>4320</v>
      </c>
      <c r="L8" s="73">
        <v>4320</v>
      </c>
      <c r="M8" s="73">
        <v>4320</v>
      </c>
      <c r="N8" s="73">
        <v>3150</v>
      </c>
      <c r="O8" s="73">
        <v>3150</v>
      </c>
      <c r="P8" s="73">
        <v>3150</v>
      </c>
      <c r="Q8" s="73">
        <v>3150</v>
      </c>
      <c r="R8" s="73">
        <v>5400</v>
      </c>
      <c r="S8" s="73">
        <v>5400</v>
      </c>
      <c r="T8" s="73">
        <v>5400</v>
      </c>
      <c r="U8" s="73">
        <v>5400</v>
      </c>
      <c r="V8" s="73">
        <v>2100</v>
      </c>
    </row>
    <row r="9" spans="1:22" s="70" customFormat="1" ht="28.8" customHeight="1" x14ac:dyDescent="0.3">
      <c r="A9" s="74" t="s">
        <v>124</v>
      </c>
      <c r="B9" s="78"/>
      <c r="C9" s="76">
        <v>3150</v>
      </c>
      <c r="D9" s="76">
        <v>3810</v>
      </c>
      <c r="E9" s="76">
        <v>3150</v>
      </c>
      <c r="F9" s="76">
        <v>3150</v>
      </c>
      <c r="G9" s="76">
        <v>0</v>
      </c>
      <c r="H9" s="76">
        <v>3150</v>
      </c>
      <c r="I9" s="76">
        <v>3150</v>
      </c>
      <c r="J9" s="76">
        <v>3150</v>
      </c>
      <c r="K9" s="76">
        <v>0</v>
      </c>
      <c r="L9" s="76">
        <v>0</v>
      </c>
      <c r="M9" s="76">
        <v>0</v>
      </c>
      <c r="N9" s="76">
        <v>3150</v>
      </c>
      <c r="O9" s="76">
        <v>3150</v>
      </c>
      <c r="P9" s="76">
        <v>3150</v>
      </c>
      <c r="Q9" s="76">
        <v>3150</v>
      </c>
      <c r="R9" s="76">
        <v>5465</v>
      </c>
      <c r="S9" s="76">
        <v>5465</v>
      </c>
      <c r="T9" s="76">
        <v>5465</v>
      </c>
      <c r="U9" s="76">
        <v>5465</v>
      </c>
      <c r="V9" s="76">
        <v>550</v>
      </c>
    </row>
    <row r="10" spans="1:22" s="70" customFormat="1" ht="28.8" customHeight="1" x14ac:dyDescent="0.3">
      <c r="A10" s="71" t="s">
        <v>132</v>
      </c>
      <c r="B10" s="77"/>
      <c r="C10" s="73">
        <v>3150</v>
      </c>
      <c r="D10" s="73">
        <v>2890</v>
      </c>
      <c r="E10" s="73">
        <v>3150</v>
      </c>
      <c r="F10" s="73">
        <v>3150</v>
      </c>
      <c r="G10" s="73">
        <v>0</v>
      </c>
      <c r="H10" s="73">
        <v>3150</v>
      </c>
      <c r="I10" s="73">
        <v>3150</v>
      </c>
      <c r="J10" s="73">
        <v>3150</v>
      </c>
      <c r="K10" s="73">
        <v>0</v>
      </c>
      <c r="L10" s="73">
        <v>0</v>
      </c>
      <c r="M10" s="73">
        <v>0</v>
      </c>
      <c r="N10" s="73">
        <v>1820</v>
      </c>
      <c r="O10" s="73">
        <v>1820</v>
      </c>
      <c r="P10" s="73">
        <v>1820</v>
      </c>
      <c r="Q10" s="73">
        <v>1820</v>
      </c>
      <c r="R10" s="73">
        <v>4550</v>
      </c>
      <c r="S10" s="73">
        <v>4550</v>
      </c>
      <c r="T10" s="73">
        <v>4550</v>
      </c>
      <c r="U10" s="73">
        <v>4550</v>
      </c>
      <c r="V10" s="73">
        <v>0</v>
      </c>
    </row>
    <row r="11" spans="1:22" s="70" customFormat="1" ht="28.8" customHeight="1" x14ac:dyDescent="0.3">
      <c r="A11" s="74" t="s">
        <v>141</v>
      </c>
      <c r="B11" s="75"/>
      <c r="C11" s="76">
        <v>3165</v>
      </c>
      <c r="D11" s="76">
        <v>900</v>
      </c>
      <c r="E11" s="76">
        <v>3165</v>
      </c>
      <c r="F11" s="76">
        <v>3165</v>
      </c>
      <c r="G11" s="76">
        <v>0</v>
      </c>
      <c r="H11" s="76">
        <v>3165</v>
      </c>
      <c r="I11" s="76">
        <v>3165</v>
      </c>
      <c r="J11" s="76">
        <v>3165</v>
      </c>
      <c r="K11" s="76">
        <v>0</v>
      </c>
      <c r="L11" s="76">
        <v>0</v>
      </c>
      <c r="M11" s="76">
        <v>0</v>
      </c>
      <c r="N11" s="76">
        <v>3165</v>
      </c>
      <c r="O11" s="76">
        <v>3165</v>
      </c>
      <c r="P11" s="76">
        <v>3165</v>
      </c>
      <c r="Q11" s="76">
        <v>3165</v>
      </c>
      <c r="R11" s="76">
        <v>4330</v>
      </c>
      <c r="S11" s="76">
        <v>4330</v>
      </c>
      <c r="T11" s="76">
        <v>4330</v>
      </c>
      <c r="U11" s="76">
        <v>4330</v>
      </c>
      <c r="V11" s="76">
        <v>2810</v>
      </c>
    </row>
    <row r="12" spans="1:22" s="70" customFormat="1" ht="28.8" customHeight="1" x14ac:dyDescent="0.3">
      <c r="A12" s="71" t="s">
        <v>97</v>
      </c>
      <c r="B12" s="77"/>
      <c r="C12" s="73">
        <v>0</v>
      </c>
      <c r="D12" s="73">
        <v>450</v>
      </c>
      <c r="E12" s="73">
        <v>0</v>
      </c>
      <c r="F12" s="73">
        <v>0</v>
      </c>
      <c r="G12" s="73">
        <v>1200</v>
      </c>
      <c r="H12" s="73">
        <v>0</v>
      </c>
      <c r="I12" s="73">
        <v>0</v>
      </c>
      <c r="J12" s="73">
        <v>0</v>
      </c>
      <c r="K12" s="73">
        <v>1200</v>
      </c>
      <c r="L12" s="73">
        <v>1200</v>
      </c>
      <c r="M12" s="73">
        <v>1200</v>
      </c>
      <c r="N12" s="73">
        <v>2111</v>
      </c>
      <c r="O12" s="73">
        <v>2111</v>
      </c>
      <c r="P12" s="73">
        <v>2111</v>
      </c>
      <c r="Q12" s="73">
        <v>2111</v>
      </c>
      <c r="R12" s="73">
        <v>1500</v>
      </c>
      <c r="S12" s="73">
        <v>1500</v>
      </c>
      <c r="T12" s="73">
        <v>1500</v>
      </c>
      <c r="U12" s="73">
        <v>1500</v>
      </c>
      <c r="V12" s="73">
        <v>2110</v>
      </c>
    </row>
    <row r="13" spans="1:22" s="70" customFormat="1" ht="28.8" customHeight="1" x14ac:dyDescent="0.3">
      <c r="A13" s="74" t="s">
        <v>98</v>
      </c>
      <c r="B13" s="75"/>
      <c r="C13" s="76">
        <v>3380</v>
      </c>
      <c r="D13" s="76">
        <v>2100</v>
      </c>
      <c r="E13" s="76">
        <v>3380</v>
      </c>
      <c r="F13" s="76">
        <v>3380</v>
      </c>
      <c r="G13" s="76">
        <v>2666</v>
      </c>
      <c r="H13" s="76">
        <v>3380</v>
      </c>
      <c r="I13" s="76">
        <v>3380</v>
      </c>
      <c r="J13" s="76">
        <v>4477</v>
      </c>
      <c r="K13" s="76">
        <v>3305</v>
      </c>
      <c r="L13" s="76">
        <v>2666</v>
      </c>
      <c r="M13" s="76">
        <v>2666</v>
      </c>
      <c r="N13" s="76">
        <v>2200</v>
      </c>
      <c r="O13" s="76">
        <v>2200</v>
      </c>
      <c r="P13" s="76">
        <v>2200</v>
      </c>
      <c r="Q13" s="76">
        <v>2200</v>
      </c>
      <c r="R13" s="76">
        <v>4220</v>
      </c>
      <c r="S13" s="76">
        <v>4220</v>
      </c>
      <c r="T13" s="76">
        <v>4220</v>
      </c>
      <c r="U13" s="76">
        <v>4220</v>
      </c>
      <c r="V13" s="76">
        <v>1000</v>
      </c>
    </row>
    <row r="14" spans="1:22" s="70" customFormat="1" ht="28.8" customHeight="1" x14ac:dyDescent="0.3">
      <c r="A14" s="71" t="s">
        <v>116</v>
      </c>
      <c r="B14" s="77"/>
      <c r="C14" s="73">
        <v>2200</v>
      </c>
      <c r="D14" s="73">
        <v>1960</v>
      </c>
      <c r="E14" s="73">
        <v>2200</v>
      </c>
      <c r="F14" s="73">
        <v>2200</v>
      </c>
      <c r="G14" s="73">
        <v>2700</v>
      </c>
      <c r="H14" s="73">
        <v>2200</v>
      </c>
      <c r="I14" s="73">
        <v>2200</v>
      </c>
      <c r="J14" s="73">
        <v>800</v>
      </c>
      <c r="K14" s="73">
        <v>2100</v>
      </c>
      <c r="L14" s="73">
        <v>2700</v>
      </c>
      <c r="M14" s="73">
        <v>2700</v>
      </c>
      <c r="N14" s="73">
        <v>1200</v>
      </c>
      <c r="O14" s="73">
        <v>1200</v>
      </c>
      <c r="P14" s="73">
        <v>1200</v>
      </c>
      <c r="Q14" s="73">
        <v>1200</v>
      </c>
      <c r="R14" s="73">
        <v>5250</v>
      </c>
      <c r="S14" s="73">
        <v>5250</v>
      </c>
      <c r="T14" s="73">
        <v>5250</v>
      </c>
      <c r="U14" s="73">
        <v>5250</v>
      </c>
      <c r="V14" s="73">
        <v>2100</v>
      </c>
    </row>
    <row r="15" spans="1:22" s="70" customFormat="1" ht="28.8" customHeight="1" x14ac:dyDescent="0.3">
      <c r="A15" s="74" t="s">
        <v>119</v>
      </c>
      <c r="B15" s="75"/>
      <c r="C15" s="76">
        <v>2100</v>
      </c>
      <c r="D15" s="76">
        <v>3150</v>
      </c>
      <c r="E15" s="76">
        <v>2100</v>
      </c>
      <c r="F15" s="76">
        <v>2100</v>
      </c>
      <c r="G15" s="76">
        <v>0</v>
      </c>
      <c r="H15" s="76">
        <v>2100</v>
      </c>
      <c r="I15" s="76">
        <v>2100</v>
      </c>
      <c r="J15" s="76">
        <v>2100</v>
      </c>
      <c r="K15" s="76">
        <v>0</v>
      </c>
      <c r="L15" s="76">
        <v>0</v>
      </c>
      <c r="M15" s="76">
        <v>0</v>
      </c>
      <c r="N15" s="76">
        <v>3380</v>
      </c>
      <c r="O15" s="76">
        <v>3380</v>
      </c>
      <c r="P15" s="76">
        <v>3380</v>
      </c>
      <c r="Q15" s="76">
        <v>3380</v>
      </c>
      <c r="R15" s="76">
        <v>5255</v>
      </c>
      <c r="S15" s="76">
        <v>5255</v>
      </c>
      <c r="T15" s="76">
        <v>5255</v>
      </c>
      <c r="U15" s="76">
        <v>5255</v>
      </c>
      <c r="V15" s="76">
        <v>0</v>
      </c>
    </row>
    <row r="16" spans="1:22" s="70" customFormat="1" ht="28.8" customHeight="1" x14ac:dyDescent="0.3">
      <c r="A16" s="71" t="s">
        <v>123</v>
      </c>
      <c r="B16" s="77"/>
      <c r="C16" s="73">
        <v>3945</v>
      </c>
      <c r="D16" s="73">
        <v>2100</v>
      </c>
      <c r="E16" s="73">
        <v>3945</v>
      </c>
      <c r="F16" s="73">
        <v>3945</v>
      </c>
      <c r="G16" s="73">
        <v>3165</v>
      </c>
      <c r="H16" s="73">
        <v>3945</v>
      </c>
      <c r="I16" s="73">
        <v>3945</v>
      </c>
      <c r="J16" s="73">
        <v>3945</v>
      </c>
      <c r="K16" s="73">
        <v>3165</v>
      </c>
      <c r="L16" s="73">
        <v>3165</v>
      </c>
      <c r="M16" s="73">
        <v>3165</v>
      </c>
      <c r="N16" s="73">
        <v>3945</v>
      </c>
      <c r="O16" s="73">
        <v>3945</v>
      </c>
      <c r="P16" s="73">
        <v>3945</v>
      </c>
      <c r="Q16" s="73">
        <v>3945</v>
      </c>
      <c r="R16" s="73">
        <v>0</v>
      </c>
      <c r="S16" s="73">
        <v>0</v>
      </c>
      <c r="T16" s="73">
        <v>0</v>
      </c>
      <c r="U16" s="73">
        <v>0</v>
      </c>
      <c r="V16" s="73">
        <v>750</v>
      </c>
    </row>
    <row r="17" spans="1:22" s="70" customFormat="1" ht="28.8" customHeight="1" x14ac:dyDescent="0.3">
      <c r="A17" s="74" t="s">
        <v>142</v>
      </c>
      <c r="B17" s="75"/>
      <c r="C17" s="76">
        <v>1200</v>
      </c>
      <c r="D17" s="76">
        <v>3285</v>
      </c>
      <c r="E17" s="76">
        <v>1200</v>
      </c>
      <c r="F17" s="76">
        <v>1200</v>
      </c>
      <c r="G17" s="76">
        <v>550</v>
      </c>
      <c r="H17" s="76">
        <v>1200</v>
      </c>
      <c r="I17" s="76">
        <v>1200</v>
      </c>
      <c r="J17" s="76">
        <v>1200</v>
      </c>
      <c r="K17" s="76">
        <v>550</v>
      </c>
      <c r="L17" s="76">
        <v>550</v>
      </c>
      <c r="M17" s="76">
        <v>550</v>
      </c>
      <c r="N17" s="76">
        <v>0</v>
      </c>
      <c r="O17" s="76">
        <v>0</v>
      </c>
      <c r="P17" s="76">
        <v>0</v>
      </c>
      <c r="Q17" s="76">
        <v>0</v>
      </c>
      <c r="R17" s="76">
        <v>3190</v>
      </c>
      <c r="S17" s="76">
        <v>3190</v>
      </c>
      <c r="T17" s="76">
        <v>3190</v>
      </c>
      <c r="U17" s="76">
        <v>3190</v>
      </c>
      <c r="V17" s="76">
        <v>0</v>
      </c>
    </row>
    <row r="18" spans="1:22" s="70" customFormat="1" ht="28.8" customHeight="1" x14ac:dyDescent="0.3">
      <c r="A18" s="71" t="s">
        <v>125</v>
      </c>
      <c r="B18" s="77"/>
      <c r="C18" s="73">
        <v>2100</v>
      </c>
      <c r="D18" s="73">
        <v>400</v>
      </c>
      <c r="E18" s="73">
        <v>2100</v>
      </c>
      <c r="F18" s="73">
        <v>2100</v>
      </c>
      <c r="G18" s="73">
        <v>0</v>
      </c>
      <c r="H18" s="73">
        <v>2100</v>
      </c>
      <c r="I18" s="73">
        <v>2100</v>
      </c>
      <c r="J18" s="73">
        <v>2100</v>
      </c>
      <c r="K18" s="73">
        <v>0</v>
      </c>
      <c r="L18" s="73">
        <v>0</v>
      </c>
      <c r="M18" s="73">
        <v>0</v>
      </c>
      <c r="N18" s="73">
        <v>2700</v>
      </c>
      <c r="O18" s="73">
        <v>2700</v>
      </c>
      <c r="P18" s="73">
        <v>2700</v>
      </c>
      <c r="Q18" s="73">
        <v>2700</v>
      </c>
      <c r="R18" s="73">
        <v>6755</v>
      </c>
      <c r="S18" s="73">
        <v>6755</v>
      </c>
      <c r="T18" s="73">
        <v>6755</v>
      </c>
      <c r="U18" s="73">
        <v>6755</v>
      </c>
      <c r="V18" s="73">
        <v>2385</v>
      </c>
    </row>
    <row r="19" spans="1:22" s="70" customFormat="1" ht="28.8" customHeight="1" x14ac:dyDescent="0.3">
      <c r="A19" s="74" t="s">
        <v>122</v>
      </c>
      <c r="B19" s="75"/>
      <c r="C19" s="76">
        <v>3445</v>
      </c>
      <c r="D19" s="76">
        <v>3445</v>
      </c>
      <c r="E19" s="76">
        <v>3445</v>
      </c>
      <c r="F19" s="76">
        <v>3445</v>
      </c>
      <c r="G19" s="76">
        <v>0</v>
      </c>
      <c r="H19" s="76">
        <v>3445</v>
      </c>
      <c r="I19" s="76">
        <v>3445</v>
      </c>
      <c r="J19" s="76">
        <v>3445</v>
      </c>
      <c r="K19" s="76">
        <v>0</v>
      </c>
      <c r="L19" s="76">
        <v>0</v>
      </c>
      <c r="M19" s="76">
        <v>0</v>
      </c>
      <c r="N19" s="76">
        <v>3445</v>
      </c>
      <c r="O19" s="76">
        <v>3445</v>
      </c>
      <c r="P19" s="76">
        <v>3445</v>
      </c>
      <c r="Q19" s="76">
        <v>3445</v>
      </c>
      <c r="R19" s="76">
        <v>3720</v>
      </c>
      <c r="S19" s="76">
        <v>3720</v>
      </c>
      <c r="T19" s="76">
        <v>3720</v>
      </c>
      <c r="U19" s="76">
        <v>3720</v>
      </c>
      <c r="V19" s="76">
        <v>1800</v>
      </c>
    </row>
    <row r="20" spans="1:22" s="70" customFormat="1" ht="28.8" customHeight="1" x14ac:dyDescent="0.3">
      <c r="A20" s="71" t="s">
        <v>127</v>
      </c>
      <c r="B20" s="77"/>
      <c r="C20" s="73">
        <v>2890</v>
      </c>
      <c r="D20" s="73">
        <v>3150</v>
      </c>
      <c r="E20" s="73">
        <v>2890</v>
      </c>
      <c r="F20" s="73">
        <v>2890</v>
      </c>
      <c r="G20" s="73">
        <v>150</v>
      </c>
      <c r="H20" s="73">
        <v>2890</v>
      </c>
      <c r="I20" s="73">
        <v>2890</v>
      </c>
      <c r="J20" s="73">
        <v>2890</v>
      </c>
      <c r="K20" s="73">
        <v>150</v>
      </c>
      <c r="L20" s="73">
        <v>150</v>
      </c>
      <c r="M20" s="73">
        <v>150</v>
      </c>
      <c r="N20" s="73">
        <v>2890</v>
      </c>
      <c r="O20" s="73">
        <v>2890</v>
      </c>
      <c r="P20" s="73">
        <v>2890</v>
      </c>
      <c r="Q20" s="73">
        <v>2890</v>
      </c>
      <c r="R20" s="73">
        <v>3150</v>
      </c>
      <c r="S20" s="73">
        <v>3150</v>
      </c>
      <c r="T20" s="73">
        <v>3150</v>
      </c>
      <c r="U20" s="73">
        <v>3150</v>
      </c>
      <c r="V20" s="73">
        <v>3285</v>
      </c>
    </row>
    <row r="21" spans="1:22" s="70" customFormat="1" ht="28.8" customHeight="1" x14ac:dyDescent="0.3">
      <c r="A21" s="74" t="s">
        <v>106</v>
      </c>
      <c r="B21" s="75"/>
      <c r="C21" s="76">
        <v>2100</v>
      </c>
      <c r="D21" s="76">
        <v>1500</v>
      </c>
      <c r="E21" s="76">
        <v>2100</v>
      </c>
      <c r="F21" s="76">
        <v>2100</v>
      </c>
      <c r="G21" s="76">
        <v>0</v>
      </c>
      <c r="H21" s="76">
        <v>2100</v>
      </c>
      <c r="I21" s="76">
        <v>2100</v>
      </c>
      <c r="J21" s="76">
        <v>2100</v>
      </c>
      <c r="K21" s="76">
        <v>0</v>
      </c>
      <c r="L21" s="76">
        <v>0</v>
      </c>
      <c r="M21" s="76">
        <v>0</v>
      </c>
      <c r="N21" s="76">
        <v>2100</v>
      </c>
      <c r="O21" s="76">
        <v>2100</v>
      </c>
      <c r="P21" s="76">
        <v>2100</v>
      </c>
      <c r="Q21" s="76">
        <v>2100</v>
      </c>
      <c r="R21" s="76">
        <v>5925</v>
      </c>
      <c r="S21" s="76">
        <v>5925</v>
      </c>
      <c r="T21" s="76">
        <v>5925</v>
      </c>
      <c r="U21" s="76">
        <v>5925</v>
      </c>
      <c r="V21" s="76">
        <v>3165</v>
      </c>
    </row>
    <row r="22" spans="1:22" s="70" customFormat="1" ht="28.8" customHeight="1" x14ac:dyDescent="0.3">
      <c r="A22" s="71" t="s">
        <v>115</v>
      </c>
      <c r="B22" s="77"/>
      <c r="C22" s="73">
        <v>0</v>
      </c>
      <c r="D22" s="73">
        <v>0</v>
      </c>
      <c r="E22" s="73">
        <v>0</v>
      </c>
      <c r="F22" s="73">
        <v>0</v>
      </c>
      <c r="G22" s="73">
        <v>1460</v>
      </c>
      <c r="H22" s="73">
        <v>0</v>
      </c>
      <c r="I22" s="73">
        <v>0</v>
      </c>
      <c r="J22" s="73">
        <v>0</v>
      </c>
      <c r="K22" s="73">
        <v>1460</v>
      </c>
      <c r="L22" s="73">
        <v>1460</v>
      </c>
      <c r="M22" s="73">
        <v>1460</v>
      </c>
      <c r="N22" s="73">
        <v>2885</v>
      </c>
      <c r="O22" s="73">
        <v>2885</v>
      </c>
      <c r="P22" s="73">
        <v>2885</v>
      </c>
      <c r="Q22" s="73">
        <v>2885</v>
      </c>
      <c r="R22" s="73">
        <v>5250</v>
      </c>
      <c r="S22" s="73">
        <v>5250</v>
      </c>
      <c r="T22" s="73">
        <v>5250</v>
      </c>
      <c r="U22" s="73">
        <v>5250</v>
      </c>
      <c r="V22" s="73">
        <v>2890</v>
      </c>
    </row>
    <row r="23" spans="1:22" s="70" customFormat="1" ht="28.8" customHeight="1" x14ac:dyDescent="0.3">
      <c r="A23" s="74" t="s">
        <v>120</v>
      </c>
      <c r="B23" s="75"/>
      <c r="C23" s="76">
        <v>2885</v>
      </c>
      <c r="D23" s="76">
        <v>2810</v>
      </c>
      <c r="E23" s="76">
        <v>2885</v>
      </c>
      <c r="F23" s="76">
        <v>2885</v>
      </c>
      <c r="G23" s="76">
        <v>0</v>
      </c>
      <c r="H23" s="76">
        <v>2885</v>
      </c>
      <c r="I23" s="76">
        <v>2885</v>
      </c>
      <c r="J23" s="76">
        <v>2885</v>
      </c>
      <c r="K23" s="76">
        <v>0</v>
      </c>
      <c r="L23" s="76">
        <v>0</v>
      </c>
      <c r="M23" s="76">
        <v>0</v>
      </c>
      <c r="N23" s="76">
        <v>0</v>
      </c>
      <c r="O23" s="76">
        <v>0</v>
      </c>
      <c r="P23" s="76">
        <v>0</v>
      </c>
      <c r="Q23" s="76">
        <v>0</v>
      </c>
      <c r="R23" s="76">
        <v>4250</v>
      </c>
      <c r="S23" s="76">
        <v>4250</v>
      </c>
      <c r="T23" s="76">
        <v>4250</v>
      </c>
      <c r="U23" s="76">
        <v>4250</v>
      </c>
      <c r="V23" s="76">
        <v>400</v>
      </c>
    </row>
    <row r="24" spans="1:22" s="70" customFormat="1" ht="28.8" customHeight="1" x14ac:dyDescent="0.3">
      <c r="A24" s="71" t="s">
        <v>109</v>
      </c>
      <c r="B24" s="77"/>
      <c r="C24" s="73">
        <v>0</v>
      </c>
      <c r="D24" s="73">
        <v>2835</v>
      </c>
      <c r="E24" s="73">
        <v>0</v>
      </c>
      <c r="F24" s="73">
        <v>0</v>
      </c>
      <c r="G24" s="73">
        <v>3380</v>
      </c>
      <c r="H24" s="73">
        <v>0</v>
      </c>
      <c r="I24" s="73">
        <v>0</v>
      </c>
      <c r="J24" s="73">
        <v>0</v>
      </c>
      <c r="K24" s="73">
        <v>3380</v>
      </c>
      <c r="L24" s="73">
        <v>3380</v>
      </c>
      <c r="M24" s="73">
        <v>3380</v>
      </c>
      <c r="N24" s="73">
        <v>0</v>
      </c>
      <c r="O24" s="73">
        <v>0</v>
      </c>
      <c r="P24" s="73">
        <v>0</v>
      </c>
      <c r="Q24" s="73">
        <v>0</v>
      </c>
      <c r="R24" s="73">
        <v>0</v>
      </c>
      <c r="S24" s="73">
        <v>0</v>
      </c>
      <c r="T24" s="73">
        <v>0</v>
      </c>
      <c r="U24" s="73">
        <v>0</v>
      </c>
      <c r="V24" s="73">
        <v>800</v>
      </c>
    </row>
    <row r="25" spans="1:22" s="70" customFormat="1" ht="28.8" customHeight="1" x14ac:dyDescent="0.3">
      <c r="A25" s="74" t="s">
        <v>131</v>
      </c>
      <c r="B25" s="75"/>
      <c r="C25" s="76">
        <v>400</v>
      </c>
      <c r="D25" s="76">
        <v>3945</v>
      </c>
      <c r="E25" s="76">
        <v>400</v>
      </c>
      <c r="F25" s="76">
        <v>400</v>
      </c>
      <c r="G25" s="76">
        <v>2385</v>
      </c>
      <c r="H25" s="76">
        <v>400</v>
      </c>
      <c r="I25" s="76">
        <v>400</v>
      </c>
      <c r="J25" s="76">
        <v>400</v>
      </c>
      <c r="K25" s="76">
        <v>2385</v>
      </c>
      <c r="L25" s="76">
        <v>2385</v>
      </c>
      <c r="M25" s="76">
        <v>2385</v>
      </c>
      <c r="N25" s="76">
        <v>400</v>
      </c>
      <c r="O25" s="76">
        <v>400</v>
      </c>
      <c r="P25" s="76">
        <v>400</v>
      </c>
      <c r="Q25" s="76">
        <v>400</v>
      </c>
      <c r="R25" s="76">
        <v>4680</v>
      </c>
      <c r="S25" s="76">
        <v>4680</v>
      </c>
      <c r="T25" s="76">
        <v>4680</v>
      </c>
      <c r="U25" s="76">
        <v>4680</v>
      </c>
      <c r="V25" s="76">
        <v>2100</v>
      </c>
    </row>
    <row r="26" spans="1:22" s="70" customFormat="1" ht="28.8" customHeight="1" x14ac:dyDescent="0.3">
      <c r="A26" s="71" t="s">
        <v>111</v>
      </c>
      <c r="B26" s="77"/>
      <c r="C26" s="73">
        <v>2100</v>
      </c>
      <c r="D26" s="73">
        <v>0</v>
      </c>
      <c r="E26" s="73">
        <v>2100</v>
      </c>
      <c r="F26" s="73">
        <v>2100</v>
      </c>
      <c r="G26" s="73">
        <v>2885</v>
      </c>
      <c r="H26" s="73">
        <v>2100</v>
      </c>
      <c r="I26" s="73">
        <v>2100</v>
      </c>
      <c r="J26" s="73">
        <v>2100</v>
      </c>
      <c r="K26" s="73">
        <v>2885</v>
      </c>
      <c r="L26" s="73">
        <v>2885</v>
      </c>
      <c r="M26" s="73">
        <v>2885</v>
      </c>
      <c r="N26" s="73">
        <v>2100</v>
      </c>
      <c r="O26" s="73">
        <v>2100</v>
      </c>
      <c r="P26" s="73">
        <v>2100</v>
      </c>
      <c r="Q26" s="73">
        <v>2100</v>
      </c>
      <c r="R26" s="73">
        <v>150</v>
      </c>
      <c r="S26" s="73">
        <v>150</v>
      </c>
      <c r="T26" s="73">
        <v>150</v>
      </c>
      <c r="U26" s="73">
        <v>150</v>
      </c>
      <c r="V26" s="73">
        <v>3945</v>
      </c>
    </row>
    <row r="27" spans="1:22" s="70" customFormat="1" ht="28.8" customHeight="1" x14ac:dyDescent="0.3">
      <c r="A27" s="74" t="s">
        <v>126</v>
      </c>
      <c r="B27" s="75"/>
      <c r="C27" s="76">
        <v>1800</v>
      </c>
      <c r="D27" s="76">
        <v>2885</v>
      </c>
      <c r="E27" s="76">
        <v>1800</v>
      </c>
      <c r="F27" s="76">
        <v>1800</v>
      </c>
      <c r="G27" s="76">
        <v>0</v>
      </c>
      <c r="H27" s="76">
        <v>1800</v>
      </c>
      <c r="I27" s="76">
        <v>1800</v>
      </c>
      <c r="J27" s="76">
        <v>1800</v>
      </c>
      <c r="K27" s="76">
        <v>0</v>
      </c>
      <c r="L27" s="76">
        <v>0</v>
      </c>
      <c r="M27" s="76">
        <v>0</v>
      </c>
      <c r="N27" s="76">
        <v>1800</v>
      </c>
      <c r="O27" s="76">
        <v>1800</v>
      </c>
      <c r="P27" s="76">
        <v>1800</v>
      </c>
      <c r="Q27" s="76">
        <v>1800</v>
      </c>
      <c r="R27" s="76">
        <v>3150</v>
      </c>
      <c r="S27" s="76">
        <v>3150</v>
      </c>
      <c r="T27" s="76">
        <v>3150</v>
      </c>
      <c r="U27" s="76">
        <v>3150</v>
      </c>
      <c r="V27" s="76">
        <v>0</v>
      </c>
    </row>
    <row r="28" spans="1:22" s="70" customFormat="1" ht="28.8" customHeight="1" x14ac:dyDescent="0.3">
      <c r="A28" s="71" t="s">
        <v>130</v>
      </c>
      <c r="B28" s="77"/>
      <c r="C28" s="73">
        <v>750</v>
      </c>
      <c r="D28" s="73">
        <v>2385</v>
      </c>
      <c r="E28" s="73">
        <v>750</v>
      </c>
      <c r="F28" s="73">
        <v>750</v>
      </c>
      <c r="G28" s="73">
        <v>3945</v>
      </c>
      <c r="H28" s="73">
        <v>750</v>
      </c>
      <c r="I28" s="73">
        <v>750</v>
      </c>
      <c r="J28" s="73">
        <v>750</v>
      </c>
      <c r="K28" s="73">
        <v>3945</v>
      </c>
      <c r="L28" s="73">
        <v>3945</v>
      </c>
      <c r="M28" s="73">
        <v>3945</v>
      </c>
      <c r="N28" s="73">
        <v>750</v>
      </c>
      <c r="O28" s="73">
        <v>750</v>
      </c>
      <c r="P28" s="73">
        <v>750</v>
      </c>
      <c r="Q28" s="73">
        <v>750</v>
      </c>
      <c r="R28" s="73">
        <v>3950</v>
      </c>
      <c r="S28" s="73">
        <v>3950</v>
      </c>
      <c r="T28" s="73">
        <v>3950</v>
      </c>
      <c r="U28" s="73">
        <v>3950</v>
      </c>
      <c r="V28" s="73">
        <v>1960</v>
      </c>
    </row>
    <row r="29" spans="1:22" s="70" customFormat="1" ht="28.8" customHeight="1" x14ac:dyDescent="0.3">
      <c r="A29" s="74" t="s">
        <v>128</v>
      </c>
      <c r="B29" s="75"/>
      <c r="C29" s="76">
        <v>550</v>
      </c>
      <c r="D29" s="76">
        <v>3380</v>
      </c>
      <c r="E29" s="76">
        <v>550</v>
      </c>
      <c r="F29" s="76">
        <v>550</v>
      </c>
      <c r="G29" s="76">
        <v>2835</v>
      </c>
      <c r="H29" s="76">
        <v>550</v>
      </c>
      <c r="I29" s="76">
        <v>550</v>
      </c>
      <c r="J29" s="76">
        <v>550</v>
      </c>
      <c r="K29" s="76">
        <v>2835</v>
      </c>
      <c r="L29" s="76">
        <v>2835</v>
      </c>
      <c r="M29" s="76">
        <v>2835</v>
      </c>
      <c r="N29" s="76">
        <v>550</v>
      </c>
      <c r="O29" s="76">
        <v>550</v>
      </c>
      <c r="P29" s="76">
        <v>550</v>
      </c>
      <c r="Q29" s="76">
        <v>550</v>
      </c>
      <c r="R29" s="76">
        <v>2850</v>
      </c>
      <c r="S29" s="76">
        <v>2850</v>
      </c>
      <c r="T29" s="76">
        <v>2850</v>
      </c>
      <c r="U29" s="76">
        <v>2850</v>
      </c>
      <c r="V29" s="76">
        <v>0</v>
      </c>
    </row>
    <row r="30" spans="1:22" s="70" customFormat="1" ht="28.8" customHeight="1" x14ac:dyDescent="0.3">
      <c r="A30" s="71" t="s">
        <v>110</v>
      </c>
      <c r="B30" s="77"/>
      <c r="C30" s="73">
        <v>2385</v>
      </c>
      <c r="D30" s="73">
        <v>0</v>
      </c>
      <c r="E30" s="73">
        <v>2385</v>
      </c>
      <c r="F30" s="73">
        <v>2385</v>
      </c>
      <c r="G30" s="73">
        <v>2810</v>
      </c>
      <c r="H30" s="73">
        <v>2385</v>
      </c>
      <c r="I30" s="73">
        <v>2385</v>
      </c>
      <c r="J30" s="73">
        <v>2385</v>
      </c>
      <c r="K30" s="73">
        <v>2810</v>
      </c>
      <c r="L30" s="73">
        <v>2810</v>
      </c>
      <c r="M30" s="73">
        <v>2810</v>
      </c>
      <c r="N30" s="73">
        <v>2385</v>
      </c>
      <c r="O30" s="73">
        <v>2385</v>
      </c>
      <c r="P30" s="73">
        <v>2385</v>
      </c>
      <c r="Q30" s="73">
        <v>2385</v>
      </c>
      <c r="R30" s="73">
        <v>1730</v>
      </c>
      <c r="S30" s="73">
        <v>1730</v>
      </c>
      <c r="T30" s="73">
        <v>1730</v>
      </c>
      <c r="U30" s="73">
        <v>1730</v>
      </c>
      <c r="V30" s="73">
        <v>2100</v>
      </c>
    </row>
    <row r="31" spans="1:22" s="70" customFormat="1" ht="28.8" customHeight="1" x14ac:dyDescent="0.3">
      <c r="A31" s="74" t="s">
        <v>136</v>
      </c>
      <c r="B31" s="75"/>
      <c r="C31" s="76">
        <v>0</v>
      </c>
      <c r="D31" s="76">
        <v>1460</v>
      </c>
      <c r="E31" s="76">
        <v>0</v>
      </c>
      <c r="F31" s="76">
        <v>0</v>
      </c>
      <c r="G31" s="76">
        <v>0</v>
      </c>
      <c r="H31" s="76">
        <v>0</v>
      </c>
      <c r="I31" s="76">
        <v>0</v>
      </c>
      <c r="J31" s="76">
        <v>0</v>
      </c>
      <c r="K31" s="76">
        <v>0</v>
      </c>
      <c r="L31" s="76">
        <v>0</v>
      </c>
      <c r="M31" s="76">
        <v>0</v>
      </c>
      <c r="N31" s="76">
        <v>0</v>
      </c>
      <c r="O31" s="76">
        <v>0</v>
      </c>
      <c r="P31" s="76">
        <v>0</v>
      </c>
      <c r="Q31" s="76">
        <v>0</v>
      </c>
      <c r="R31" s="76">
        <v>3930</v>
      </c>
      <c r="S31" s="76">
        <v>3930</v>
      </c>
      <c r="T31" s="76">
        <v>3930</v>
      </c>
      <c r="U31" s="76">
        <v>3930</v>
      </c>
      <c r="V31" s="76">
        <v>450</v>
      </c>
    </row>
    <row r="32" spans="1:22" s="70" customFormat="1" ht="28.8" customHeight="1" x14ac:dyDescent="0.3">
      <c r="A32" s="71" t="s">
        <v>117</v>
      </c>
      <c r="B32" s="77"/>
      <c r="C32" s="73">
        <v>3285</v>
      </c>
      <c r="D32" s="73">
        <v>0</v>
      </c>
      <c r="E32" s="73">
        <v>3285</v>
      </c>
      <c r="F32" s="73">
        <v>3285</v>
      </c>
      <c r="G32" s="73">
        <v>1500</v>
      </c>
      <c r="H32" s="73">
        <v>3285</v>
      </c>
      <c r="I32" s="73">
        <v>3285</v>
      </c>
      <c r="J32" s="73">
        <v>3285</v>
      </c>
      <c r="K32" s="73">
        <v>1500</v>
      </c>
      <c r="L32" s="73">
        <v>1500</v>
      </c>
      <c r="M32" s="73">
        <v>1500</v>
      </c>
      <c r="N32" s="73">
        <v>3285</v>
      </c>
      <c r="O32" s="73">
        <v>3285</v>
      </c>
      <c r="P32" s="73">
        <v>3285</v>
      </c>
      <c r="Q32" s="73">
        <v>3285</v>
      </c>
      <c r="R32" s="73">
        <v>1050</v>
      </c>
      <c r="S32" s="73">
        <v>1050</v>
      </c>
      <c r="T32" s="73">
        <v>1050</v>
      </c>
      <c r="U32" s="73">
        <v>1050</v>
      </c>
      <c r="V32" s="73">
        <v>0</v>
      </c>
    </row>
    <row r="33" spans="1:22" s="70" customFormat="1" ht="28.8" customHeight="1" x14ac:dyDescent="0.3">
      <c r="A33" s="74" t="s">
        <v>107</v>
      </c>
      <c r="B33" s="75"/>
      <c r="C33" s="76">
        <v>0</v>
      </c>
      <c r="D33" s="76">
        <v>150</v>
      </c>
      <c r="E33" s="76">
        <v>0</v>
      </c>
      <c r="F33" s="76">
        <v>0</v>
      </c>
      <c r="G33" s="76">
        <v>3150</v>
      </c>
      <c r="H33" s="76">
        <v>0</v>
      </c>
      <c r="I33" s="76">
        <v>0</v>
      </c>
      <c r="J33" s="76">
        <v>0</v>
      </c>
      <c r="K33" s="76">
        <v>3150</v>
      </c>
      <c r="L33" s="76">
        <v>3150</v>
      </c>
      <c r="M33" s="76">
        <v>3150</v>
      </c>
      <c r="N33" s="76">
        <v>0</v>
      </c>
      <c r="O33" s="76">
        <v>0</v>
      </c>
      <c r="P33" s="76">
        <v>0</v>
      </c>
      <c r="Q33" s="76">
        <v>0</v>
      </c>
      <c r="R33" s="76">
        <v>4775</v>
      </c>
      <c r="S33" s="76">
        <v>4775</v>
      </c>
      <c r="T33" s="76">
        <v>4775</v>
      </c>
      <c r="U33" s="76">
        <v>4775</v>
      </c>
      <c r="V33" s="76">
        <v>0</v>
      </c>
    </row>
    <row r="34" spans="1:22" s="70" customFormat="1" ht="28.8" customHeight="1" x14ac:dyDescent="0.3">
      <c r="A34" s="71" t="s">
        <v>112</v>
      </c>
      <c r="B34" s="77"/>
      <c r="C34" s="73">
        <v>900</v>
      </c>
      <c r="D34" s="73">
        <v>0</v>
      </c>
      <c r="E34" s="73">
        <v>900</v>
      </c>
      <c r="F34" s="73">
        <v>900</v>
      </c>
      <c r="G34" s="73">
        <v>3445</v>
      </c>
      <c r="H34" s="73">
        <v>900</v>
      </c>
      <c r="I34" s="73">
        <v>900</v>
      </c>
      <c r="J34" s="73">
        <v>900</v>
      </c>
      <c r="K34" s="73">
        <v>3445</v>
      </c>
      <c r="L34" s="73">
        <v>3445</v>
      </c>
      <c r="M34" s="73">
        <v>3445</v>
      </c>
      <c r="N34" s="73">
        <v>900</v>
      </c>
      <c r="O34" s="73">
        <v>900</v>
      </c>
      <c r="P34" s="73">
        <v>900</v>
      </c>
      <c r="Q34" s="73">
        <v>900</v>
      </c>
      <c r="R34" s="73">
        <v>0</v>
      </c>
      <c r="S34" s="73">
        <v>0</v>
      </c>
      <c r="T34" s="73">
        <v>0</v>
      </c>
      <c r="U34" s="73">
        <v>0</v>
      </c>
      <c r="V34" s="73">
        <v>1200</v>
      </c>
    </row>
    <row r="35" spans="1:22" s="70" customFormat="1" ht="28.8" customHeight="1" x14ac:dyDescent="0.3">
      <c r="A35" s="74" t="s">
        <v>105</v>
      </c>
      <c r="B35" s="75"/>
      <c r="C35" s="76">
        <v>1960</v>
      </c>
      <c r="D35" s="76">
        <v>0</v>
      </c>
      <c r="E35" s="76">
        <v>1960</v>
      </c>
      <c r="F35" s="76">
        <v>1960</v>
      </c>
      <c r="G35" s="76">
        <v>400</v>
      </c>
      <c r="H35" s="76">
        <v>1960</v>
      </c>
      <c r="I35" s="76">
        <v>1960</v>
      </c>
      <c r="J35" s="76">
        <v>1960</v>
      </c>
      <c r="K35" s="76">
        <v>400</v>
      </c>
      <c r="L35" s="76">
        <v>400</v>
      </c>
      <c r="M35" s="76">
        <v>400</v>
      </c>
      <c r="N35" s="76">
        <v>1960</v>
      </c>
      <c r="O35" s="76">
        <v>1960</v>
      </c>
      <c r="P35" s="76">
        <v>1960</v>
      </c>
      <c r="Q35" s="76">
        <v>1960</v>
      </c>
      <c r="R35" s="76">
        <v>4210</v>
      </c>
      <c r="S35" s="76">
        <v>4210</v>
      </c>
      <c r="T35" s="76">
        <v>4210</v>
      </c>
      <c r="U35" s="76">
        <v>4210</v>
      </c>
      <c r="V35" s="76">
        <v>3150</v>
      </c>
    </row>
    <row r="36" spans="1:22" s="70" customFormat="1" ht="28.8" customHeight="1" x14ac:dyDescent="0.3">
      <c r="A36" s="71" t="s">
        <v>118</v>
      </c>
      <c r="B36" s="77"/>
      <c r="C36" s="73">
        <v>2100</v>
      </c>
      <c r="D36" s="73">
        <v>550</v>
      </c>
      <c r="E36" s="73">
        <v>2100</v>
      </c>
      <c r="F36" s="73">
        <v>2100</v>
      </c>
      <c r="G36" s="73">
        <v>3285</v>
      </c>
      <c r="H36" s="73">
        <v>2100</v>
      </c>
      <c r="I36" s="73">
        <v>2100</v>
      </c>
      <c r="J36" s="73">
        <v>2100</v>
      </c>
      <c r="K36" s="73">
        <v>3285</v>
      </c>
      <c r="L36" s="73">
        <v>3285</v>
      </c>
      <c r="M36" s="73">
        <v>3285</v>
      </c>
      <c r="N36" s="73">
        <v>2100</v>
      </c>
      <c r="O36" s="73">
        <v>2100</v>
      </c>
      <c r="P36" s="73">
        <v>2100</v>
      </c>
      <c r="Q36" s="73">
        <v>2100</v>
      </c>
      <c r="R36" s="73">
        <v>0</v>
      </c>
      <c r="S36" s="73">
        <v>0</v>
      </c>
      <c r="T36" s="73">
        <v>0</v>
      </c>
      <c r="U36" s="73">
        <v>0</v>
      </c>
      <c r="V36" s="73">
        <v>2885</v>
      </c>
    </row>
    <row r="37" spans="1:22" s="70" customFormat="1" ht="28.8" customHeight="1" x14ac:dyDescent="0.3">
      <c r="A37" s="74" t="s">
        <v>99</v>
      </c>
      <c r="B37" s="75"/>
      <c r="C37" s="76">
        <v>0</v>
      </c>
      <c r="D37" s="76">
        <v>3165</v>
      </c>
      <c r="E37" s="76">
        <v>0</v>
      </c>
      <c r="F37" s="76">
        <v>0</v>
      </c>
      <c r="G37" s="76">
        <v>2100</v>
      </c>
      <c r="H37" s="76">
        <v>0</v>
      </c>
      <c r="I37" s="76">
        <v>0</v>
      </c>
      <c r="J37" s="76">
        <v>0</v>
      </c>
      <c r="K37" s="76">
        <v>2100</v>
      </c>
      <c r="L37" s="76">
        <v>2100</v>
      </c>
      <c r="M37" s="76">
        <v>2100</v>
      </c>
      <c r="N37" s="76">
        <v>0</v>
      </c>
      <c r="O37" s="76">
        <v>0</v>
      </c>
      <c r="P37" s="76">
        <v>0</v>
      </c>
      <c r="Q37" s="76">
        <v>0</v>
      </c>
      <c r="R37" s="76">
        <v>0</v>
      </c>
      <c r="S37" s="76">
        <v>0</v>
      </c>
      <c r="T37" s="76">
        <v>0</v>
      </c>
      <c r="U37" s="76">
        <v>0</v>
      </c>
      <c r="V37" s="76">
        <v>250</v>
      </c>
    </row>
    <row r="38" spans="1:22" s="70" customFormat="1" ht="28.8" customHeight="1" x14ac:dyDescent="0.3">
      <c r="A38" s="71" t="s">
        <v>102</v>
      </c>
      <c r="B38" s="77"/>
      <c r="C38" s="73">
        <v>0</v>
      </c>
      <c r="D38" s="73">
        <v>0</v>
      </c>
      <c r="E38" s="73">
        <v>0</v>
      </c>
      <c r="F38" s="73">
        <v>0</v>
      </c>
      <c r="G38" s="73">
        <v>3150</v>
      </c>
      <c r="H38" s="73">
        <v>0</v>
      </c>
      <c r="I38" s="73">
        <v>0</v>
      </c>
      <c r="J38" s="73">
        <v>0</v>
      </c>
      <c r="K38" s="73">
        <v>3150</v>
      </c>
      <c r="L38" s="73">
        <v>3150</v>
      </c>
      <c r="M38" s="73">
        <v>3150</v>
      </c>
      <c r="N38" s="73">
        <v>0</v>
      </c>
      <c r="O38" s="73">
        <v>0</v>
      </c>
      <c r="P38" s="73">
        <v>0</v>
      </c>
      <c r="Q38" s="73">
        <v>0</v>
      </c>
      <c r="R38" s="73">
        <v>0</v>
      </c>
      <c r="S38" s="73">
        <v>0</v>
      </c>
      <c r="T38" s="73">
        <v>0</v>
      </c>
      <c r="U38" s="73">
        <v>0</v>
      </c>
      <c r="V38" s="73">
        <v>2800</v>
      </c>
    </row>
    <row r="39" spans="1:22" s="70" customFormat="1" ht="28.8" customHeight="1" x14ac:dyDescent="0.3">
      <c r="A39" s="74" t="s">
        <v>100</v>
      </c>
      <c r="B39" s="75"/>
      <c r="C39" s="76">
        <v>150</v>
      </c>
      <c r="D39" s="76">
        <v>2100</v>
      </c>
      <c r="E39" s="76">
        <v>150</v>
      </c>
      <c r="F39" s="76">
        <v>150</v>
      </c>
      <c r="G39" s="76">
        <v>1960</v>
      </c>
      <c r="H39" s="76">
        <v>150</v>
      </c>
      <c r="I39" s="76">
        <v>150</v>
      </c>
      <c r="J39" s="76">
        <v>150</v>
      </c>
      <c r="K39" s="76">
        <v>1960</v>
      </c>
      <c r="L39" s="76">
        <v>1960</v>
      </c>
      <c r="M39" s="76">
        <v>1960</v>
      </c>
      <c r="N39" s="76">
        <v>150</v>
      </c>
      <c r="O39" s="76">
        <v>150</v>
      </c>
      <c r="P39" s="76">
        <v>150</v>
      </c>
      <c r="Q39" s="76">
        <v>150</v>
      </c>
      <c r="R39" s="76">
        <v>650</v>
      </c>
      <c r="S39" s="76">
        <v>650</v>
      </c>
      <c r="T39" s="76">
        <v>650</v>
      </c>
      <c r="U39" s="76">
        <v>650</v>
      </c>
      <c r="V39" s="76">
        <v>2300</v>
      </c>
    </row>
    <row r="40" spans="1:22" s="70" customFormat="1" ht="28.8" customHeight="1" x14ac:dyDescent="0.3">
      <c r="A40" s="71" t="s">
        <v>90</v>
      </c>
      <c r="B40" s="77"/>
      <c r="C40" s="73">
        <v>0</v>
      </c>
      <c r="D40" s="73">
        <v>3305</v>
      </c>
      <c r="E40" s="73">
        <v>0</v>
      </c>
      <c r="F40" s="73">
        <v>0</v>
      </c>
      <c r="G40" s="73">
        <v>2100</v>
      </c>
      <c r="H40" s="73">
        <v>0</v>
      </c>
      <c r="I40" s="73">
        <v>0</v>
      </c>
      <c r="J40" s="73">
        <v>0</v>
      </c>
      <c r="K40" s="73">
        <v>2100</v>
      </c>
      <c r="L40" s="73">
        <v>2100</v>
      </c>
      <c r="M40" s="73">
        <v>2100</v>
      </c>
      <c r="N40" s="73">
        <v>0</v>
      </c>
      <c r="O40" s="73">
        <v>0</v>
      </c>
      <c r="P40" s="73">
        <v>0</v>
      </c>
      <c r="Q40" s="73">
        <v>0</v>
      </c>
      <c r="R40" s="73">
        <v>1530</v>
      </c>
      <c r="S40" s="73">
        <v>1530</v>
      </c>
      <c r="T40" s="73">
        <v>1530</v>
      </c>
      <c r="U40" s="73">
        <v>1530</v>
      </c>
      <c r="V40" s="73">
        <v>0</v>
      </c>
    </row>
    <row r="41" spans="1:22" s="70" customFormat="1" ht="28.8" customHeight="1" x14ac:dyDescent="0.3">
      <c r="A41" s="74" t="s">
        <v>113</v>
      </c>
      <c r="B41" s="75"/>
      <c r="C41" s="76">
        <v>1460</v>
      </c>
      <c r="D41" s="76">
        <v>1200</v>
      </c>
      <c r="E41" s="76">
        <v>1460</v>
      </c>
      <c r="F41" s="76">
        <v>1460</v>
      </c>
      <c r="G41" s="76">
        <v>450</v>
      </c>
      <c r="H41" s="76">
        <v>1460</v>
      </c>
      <c r="I41" s="76">
        <v>1460</v>
      </c>
      <c r="J41" s="76">
        <v>1460</v>
      </c>
      <c r="K41" s="76">
        <v>450</v>
      </c>
      <c r="L41" s="76">
        <v>450</v>
      </c>
      <c r="M41" s="76">
        <v>450</v>
      </c>
      <c r="N41" s="76">
        <v>1460</v>
      </c>
      <c r="O41" s="76">
        <v>1460</v>
      </c>
      <c r="P41" s="76">
        <v>1460</v>
      </c>
      <c r="Q41" s="76">
        <v>1460</v>
      </c>
      <c r="R41" s="76">
        <v>270</v>
      </c>
      <c r="S41" s="76">
        <v>270</v>
      </c>
      <c r="T41" s="76">
        <v>270</v>
      </c>
      <c r="U41" s="76">
        <v>270</v>
      </c>
      <c r="V41" s="76">
        <v>2100</v>
      </c>
    </row>
    <row r="42" spans="1:22" s="70" customFormat="1" ht="28.8" customHeight="1" x14ac:dyDescent="0.3">
      <c r="A42" s="71" t="s">
        <v>138</v>
      </c>
      <c r="B42" s="77"/>
      <c r="C42" s="73">
        <v>450</v>
      </c>
      <c r="D42" s="73">
        <v>0</v>
      </c>
      <c r="E42" s="73">
        <v>450</v>
      </c>
      <c r="F42" s="73">
        <v>450</v>
      </c>
      <c r="G42" s="73">
        <v>900</v>
      </c>
      <c r="H42" s="73">
        <v>450</v>
      </c>
      <c r="I42" s="73">
        <v>450</v>
      </c>
      <c r="J42" s="73">
        <v>450</v>
      </c>
      <c r="K42" s="73">
        <v>900</v>
      </c>
      <c r="L42" s="73">
        <v>900</v>
      </c>
      <c r="M42" s="73">
        <v>900</v>
      </c>
      <c r="N42" s="73">
        <v>4320</v>
      </c>
      <c r="O42" s="73">
        <v>4320</v>
      </c>
      <c r="P42" s="73">
        <v>4320</v>
      </c>
      <c r="Q42" s="73">
        <v>4320</v>
      </c>
      <c r="R42" s="73">
        <v>0</v>
      </c>
      <c r="S42" s="73">
        <v>0</v>
      </c>
      <c r="T42" s="73">
        <v>0</v>
      </c>
      <c r="U42" s="73">
        <v>0</v>
      </c>
      <c r="V42" s="73">
        <v>0</v>
      </c>
    </row>
    <row r="43" spans="1:22" s="70" customFormat="1" ht="28.8" customHeight="1" x14ac:dyDescent="0.3">
      <c r="A43" s="74" t="s">
        <v>137</v>
      </c>
      <c r="B43" s="75"/>
      <c r="C43" s="76">
        <v>4320</v>
      </c>
      <c r="D43" s="76">
        <v>0</v>
      </c>
      <c r="E43" s="76">
        <v>4320</v>
      </c>
      <c r="F43" s="76">
        <v>4320</v>
      </c>
      <c r="G43" s="76">
        <v>2890</v>
      </c>
      <c r="H43" s="76">
        <v>4320</v>
      </c>
      <c r="I43" s="76">
        <v>4320</v>
      </c>
      <c r="J43" s="76">
        <v>4320</v>
      </c>
      <c r="K43" s="76">
        <v>2890</v>
      </c>
      <c r="L43" s="76">
        <v>2890</v>
      </c>
      <c r="M43" s="76">
        <v>2890</v>
      </c>
      <c r="N43" s="76">
        <v>450</v>
      </c>
      <c r="O43" s="76">
        <v>450</v>
      </c>
      <c r="P43" s="76">
        <v>450</v>
      </c>
      <c r="Q43" s="76">
        <v>450</v>
      </c>
      <c r="R43" s="76">
        <v>6455</v>
      </c>
      <c r="S43" s="76">
        <v>6455</v>
      </c>
      <c r="T43" s="76">
        <v>6455</v>
      </c>
      <c r="U43" s="76">
        <v>6455</v>
      </c>
      <c r="V43" s="76">
        <v>4320</v>
      </c>
    </row>
    <row r="44" spans="1:22" s="70" customFormat="1" ht="28.8" customHeight="1" x14ac:dyDescent="0.3">
      <c r="A44" s="71" t="s">
        <v>108</v>
      </c>
      <c r="B44" s="77"/>
      <c r="C44" s="73">
        <v>0</v>
      </c>
      <c r="D44" s="73">
        <v>0</v>
      </c>
      <c r="E44" s="73">
        <v>0</v>
      </c>
      <c r="F44" s="73">
        <v>0</v>
      </c>
      <c r="G44" s="73">
        <v>3810</v>
      </c>
      <c r="H44" s="73">
        <v>0</v>
      </c>
      <c r="I44" s="73">
        <v>0</v>
      </c>
      <c r="J44" s="73">
        <v>0</v>
      </c>
      <c r="K44" s="73">
        <v>3810</v>
      </c>
      <c r="L44" s="73">
        <v>3810</v>
      </c>
      <c r="M44" s="73">
        <v>3810</v>
      </c>
      <c r="N44" s="73">
        <v>0</v>
      </c>
      <c r="O44" s="73">
        <v>0</v>
      </c>
      <c r="P44" s="73">
        <v>0</v>
      </c>
      <c r="Q44" s="73">
        <v>0</v>
      </c>
      <c r="R44" s="73">
        <v>0</v>
      </c>
      <c r="S44" s="73">
        <v>0</v>
      </c>
      <c r="T44" s="73">
        <v>0</v>
      </c>
      <c r="U44" s="73">
        <v>0</v>
      </c>
      <c r="V44" s="73">
        <v>4477</v>
      </c>
    </row>
    <row r="45" spans="1:22" s="70" customFormat="1" ht="28.8" customHeight="1" x14ac:dyDescent="0.3">
      <c r="A45" s="74" t="s">
        <v>135</v>
      </c>
      <c r="B45" s="75"/>
      <c r="C45" s="76">
        <v>2835</v>
      </c>
      <c r="D45" s="76">
        <v>4320</v>
      </c>
      <c r="E45" s="76">
        <v>2835</v>
      </c>
      <c r="F45" s="76">
        <v>2835</v>
      </c>
      <c r="G45" s="76">
        <v>0</v>
      </c>
      <c r="H45" s="76">
        <v>2835</v>
      </c>
      <c r="I45" s="76">
        <v>2835</v>
      </c>
      <c r="J45" s="76">
        <v>2835</v>
      </c>
      <c r="K45" s="76">
        <v>0</v>
      </c>
      <c r="L45" s="76">
        <v>0</v>
      </c>
      <c r="M45" s="76">
        <v>0</v>
      </c>
      <c r="N45" s="76">
        <v>2835</v>
      </c>
      <c r="O45" s="76">
        <v>2835</v>
      </c>
      <c r="P45" s="76">
        <v>2835</v>
      </c>
      <c r="Q45" s="76">
        <v>2835</v>
      </c>
      <c r="R45" s="76">
        <v>3755</v>
      </c>
      <c r="S45" s="76">
        <v>3755</v>
      </c>
      <c r="T45" s="76">
        <v>3755</v>
      </c>
      <c r="U45" s="76">
        <v>3755</v>
      </c>
      <c r="V45" s="76">
        <v>1460</v>
      </c>
    </row>
    <row r="46" spans="1:22" s="70" customFormat="1" ht="28.8" customHeight="1" x14ac:dyDescent="0.3">
      <c r="A46" s="71" t="s">
        <v>133</v>
      </c>
      <c r="B46" s="77"/>
      <c r="C46" s="73">
        <v>0</v>
      </c>
      <c r="D46" s="73">
        <v>2800</v>
      </c>
      <c r="E46" s="73">
        <v>0</v>
      </c>
      <c r="F46" s="73">
        <v>0</v>
      </c>
      <c r="G46" s="73">
        <v>0</v>
      </c>
      <c r="H46" s="73">
        <v>0</v>
      </c>
      <c r="I46" s="73">
        <v>0</v>
      </c>
      <c r="J46" s="73">
        <v>0</v>
      </c>
      <c r="K46" s="73">
        <v>0</v>
      </c>
      <c r="L46" s="73">
        <v>0</v>
      </c>
      <c r="M46" s="73">
        <v>0</v>
      </c>
      <c r="N46" s="73">
        <v>0</v>
      </c>
      <c r="O46" s="73">
        <v>0</v>
      </c>
      <c r="P46" s="73">
        <v>0</v>
      </c>
      <c r="Q46" s="73">
        <v>0</v>
      </c>
      <c r="R46" s="73">
        <v>0</v>
      </c>
      <c r="S46" s="73">
        <v>0</v>
      </c>
      <c r="T46" s="73">
        <v>0</v>
      </c>
      <c r="U46" s="73">
        <v>0</v>
      </c>
      <c r="V46" s="73">
        <v>150</v>
      </c>
    </row>
    <row r="47" spans="1:22" s="70" customFormat="1" ht="28.8" customHeight="1" x14ac:dyDescent="0.3">
      <c r="A47" s="74" t="s">
        <v>140</v>
      </c>
      <c r="B47" s="75"/>
      <c r="C47" s="76">
        <v>2810</v>
      </c>
      <c r="D47" s="76">
        <v>2200</v>
      </c>
      <c r="E47" s="76">
        <v>2810</v>
      </c>
      <c r="F47" s="76">
        <v>2810</v>
      </c>
      <c r="G47" s="76">
        <v>3150</v>
      </c>
      <c r="H47" s="76">
        <v>2810</v>
      </c>
      <c r="I47" s="76">
        <v>2810</v>
      </c>
      <c r="J47" s="76">
        <v>2810</v>
      </c>
      <c r="K47" s="76">
        <v>3150</v>
      </c>
      <c r="L47" s="76">
        <v>3150</v>
      </c>
      <c r="M47" s="76">
        <v>3150</v>
      </c>
      <c r="N47" s="76">
        <v>2810</v>
      </c>
      <c r="O47" s="76">
        <v>2810</v>
      </c>
      <c r="P47" s="76">
        <v>2810</v>
      </c>
      <c r="Q47" s="76">
        <v>2810</v>
      </c>
      <c r="R47" s="76">
        <v>3480</v>
      </c>
      <c r="S47" s="76">
        <v>3480</v>
      </c>
      <c r="T47" s="76">
        <v>3480</v>
      </c>
      <c r="U47" s="76">
        <v>3480</v>
      </c>
      <c r="V47" s="76">
        <v>0</v>
      </c>
    </row>
    <row r="48" spans="1:22" s="70" customFormat="1" ht="28.8" customHeight="1" x14ac:dyDescent="0.3">
      <c r="A48" s="71" t="s">
        <v>101</v>
      </c>
      <c r="B48" s="77"/>
      <c r="C48" s="73">
        <v>0</v>
      </c>
      <c r="D48" s="73">
        <v>0</v>
      </c>
      <c r="E48" s="73">
        <v>0</v>
      </c>
      <c r="F48" s="73">
        <v>0</v>
      </c>
      <c r="G48" s="73">
        <v>3450</v>
      </c>
      <c r="H48" s="73">
        <v>0</v>
      </c>
      <c r="I48" s="73">
        <v>0</v>
      </c>
      <c r="J48" s="73">
        <v>0</v>
      </c>
      <c r="K48" s="73">
        <v>3450</v>
      </c>
      <c r="L48" s="73">
        <v>3450</v>
      </c>
      <c r="M48" s="73">
        <v>3450</v>
      </c>
      <c r="N48" s="73">
        <v>0</v>
      </c>
      <c r="O48" s="73">
        <v>0</v>
      </c>
      <c r="P48" s="73">
        <v>0</v>
      </c>
      <c r="Q48" s="73">
        <v>0</v>
      </c>
      <c r="R48" s="73">
        <v>0</v>
      </c>
      <c r="S48" s="73">
        <v>0</v>
      </c>
      <c r="T48" s="73">
        <v>0</v>
      </c>
      <c r="U48" s="73">
        <v>0</v>
      </c>
      <c r="V48" s="73">
        <v>4000</v>
      </c>
    </row>
    <row r="49" spans="1:22" s="70" customFormat="1" ht="28.8" customHeight="1" x14ac:dyDescent="0.3">
      <c r="A49" s="74" t="s">
        <v>134</v>
      </c>
      <c r="B49" s="75"/>
      <c r="C49" s="76">
        <v>0</v>
      </c>
      <c r="D49" s="76">
        <v>2100</v>
      </c>
      <c r="E49" s="76">
        <v>0</v>
      </c>
      <c r="F49" s="76">
        <v>0</v>
      </c>
      <c r="G49" s="76">
        <v>0</v>
      </c>
      <c r="H49" s="76">
        <v>0</v>
      </c>
      <c r="I49" s="76">
        <v>0</v>
      </c>
      <c r="J49" s="76">
        <v>0</v>
      </c>
      <c r="K49" s="76">
        <v>0</v>
      </c>
      <c r="L49" s="76">
        <v>0</v>
      </c>
      <c r="M49" s="76">
        <v>0</v>
      </c>
      <c r="N49" s="76">
        <v>0</v>
      </c>
      <c r="O49" s="76">
        <v>0</v>
      </c>
      <c r="P49" s="76">
        <v>0</v>
      </c>
      <c r="Q49" s="76">
        <v>0</v>
      </c>
      <c r="R49" s="76">
        <v>0</v>
      </c>
      <c r="S49" s="76">
        <v>0</v>
      </c>
      <c r="T49" s="76">
        <v>0</v>
      </c>
      <c r="U49" s="76">
        <v>0</v>
      </c>
      <c r="V49" s="76">
        <v>0</v>
      </c>
    </row>
    <row r="50" spans="1:22" s="70" customFormat="1" ht="28.8" customHeight="1" x14ac:dyDescent="0.3">
      <c r="A50" s="71" t="s">
        <v>129</v>
      </c>
      <c r="B50" s="77"/>
      <c r="C50" s="73">
        <v>0</v>
      </c>
      <c r="D50" s="73">
        <v>2100</v>
      </c>
      <c r="E50" s="73">
        <v>0</v>
      </c>
      <c r="F50" s="73">
        <v>0</v>
      </c>
      <c r="G50" s="73">
        <v>1800</v>
      </c>
      <c r="H50" s="73">
        <v>0</v>
      </c>
      <c r="I50" s="73">
        <v>0</v>
      </c>
      <c r="J50" s="73">
        <v>0</v>
      </c>
      <c r="K50" s="73">
        <v>1800</v>
      </c>
      <c r="L50" s="73">
        <v>1800</v>
      </c>
      <c r="M50" s="73">
        <v>1800</v>
      </c>
      <c r="N50" s="73">
        <v>0</v>
      </c>
      <c r="O50" s="73">
        <v>0</v>
      </c>
      <c r="P50" s="73">
        <v>0</v>
      </c>
      <c r="Q50" s="73">
        <v>0</v>
      </c>
      <c r="R50" s="73">
        <v>0</v>
      </c>
      <c r="S50" s="73">
        <v>0</v>
      </c>
      <c r="T50" s="73">
        <v>0</v>
      </c>
      <c r="U50" s="73">
        <v>0</v>
      </c>
      <c r="V50" s="73">
        <v>900</v>
      </c>
    </row>
    <row r="51" spans="1:22" s="70" customFormat="1" ht="28.8" customHeight="1" x14ac:dyDescent="0.3">
      <c r="A51" s="74" t="s">
        <v>103</v>
      </c>
      <c r="B51" s="75"/>
      <c r="C51" s="76">
        <v>0</v>
      </c>
      <c r="D51" s="76">
        <v>750</v>
      </c>
      <c r="E51" s="76">
        <v>0</v>
      </c>
      <c r="F51" s="76">
        <v>0</v>
      </c>
      <c r="G51" s="76">
        <v>1820</v>
      </c>
      <c r="H51" s="76">
        <v>0</v>
      </c>
      <c r="I51" s="76">
        <v>0</v>
      </c>
      <c r="J51" s="76">
        <v>0</v>
      </c>
      <c r="K51" s="76">
        <v>1820</v>
      </c>
      <c r="L51" s="76">
        <v>1820</v>
      </c>
      <c r="M51" s="76">
        <v>1820</v>
      </c>
      <c r="N51" s="76">
        <v>0</v>
      </c>
      <c r="O51" s="76">
        <v>0</v>
      </c>
      <c r="P51" s="76">
        <v>0</v>
      </c>
      <c r="Q51" s="76">
        <v>0</v>
      </c>
      <c r="R51" s="76">
        <v>0</v>
      </c>
      <c r="S51" s="76">
        <v>0</v>
      </c>
      <c r="T51" s="76">
        <v>0</v>
      </c>
      <c r="U51" s="76">
        <v>0</v>
      </c>
      <c r="V51" s="76">
        <v>1820</v>
      </c>
    </row>
  </sheetData>
  <phoneticPr fontId="15" type="noConversion"/>
  <pageMargins left="0.7" right="0.7" top="0.78740157499999996" bottom="0.78740157499999996" header="0.3" footer="0.3"/>
  <pageSetup paperSize="9" orientation="portrait" horizontalDpi="0" verticalDpi="0" r:id="rId1"/>
  <tableParts count="1">
    <tablePart r:id="rId2"/>
  </tableParts>
  <extLst>
    <ext xmlns:x14="http://schemas.microsoft.com/office/spreadsheetml/2009/9/main" uri="{05C60535-1F16-4fd2-B633-F4F36F0B64E0}">
      <x14:sparklineGroups xmlns:xm="http://schemas.microsoft.com/office/excel/2006/main">
        <x14:sparklineGroup lineWeight="1.5" displayEmptyCellsAs="span" high="1" low="1" first="1" last="1" minAxisType="group" xr2:uid="{83A2E9E0-B034-47F6-BB5C-C0900036F572}">
          <x14:colorSeries theme="8" tint="-0.249977111117893"/>
          <x14:colorNegative rgb="FFD00000"/>
          <x14:colorAxis rgb="FF000000"/>
          <x14:colorMarkers rgb="FFD00000"/>
          <x14:colorFirst theme="7" tint="-0.249977111117893"/>
          <x14:colorLast theme="5" tint="-0.249977111117893"/>
          <x14:colorHigh rgb="FF00B050"/>
          <x14:colorLow rgb="FFFF0000"/>
          <x14:sparklines>
            <x14:sparkline>
              <xm:f>hDataTotal!C2:V2</xm:f>
              <xm:sqref>B2</xm:sqref>
            </x14:sparkline>
            <x14:sparkline>
              <xm:f>hDataTotal!C3:V3</xm:f>
              <xm:sqref>B3</xm:sqref>
            </x14:sparkline>
            <x14:sparkline>
              <xm:f>hDataTotal!C4:V4</xm:f>
              <xm:sqref>B4</xm:sqref>
            </x14:sparkline>
            <x14:sparkline>
              <xm:f>hDataTotal!C5:V5</xm:f>
              <xm:sqref>B5</xm:sqref>
            </x14:sparkline>
            <x14:sparkline>
              <xm:f>hDataTotal!C6:V6</xm:f>
              <xm:sqref>B6</xm:sqref>
            </x14:sparkline>
            <x14:sparkline>
              <xm:f>hDataTotal!C7:V7</xm:f>
              <xm:sqref>B7</xm:sqref>
            </x14:sparkline>
            <x14:sparkline>
              <xm:f>hDataTotal!C8:V8</xm:f>
              <xm:sqref>B8</xm:sqref>
            </x14:sparkline>
            <x14:sparkline>
              <xm:f>hDataTotal!C9:V9</xm:f>
              <xm:sqref>B9</xm:sqref>
            </x14:sparkline>
            <x14:sparkline>
              <xm:f>hDataTotal!C10:V10</xm:f>
              <xm:sqref>B10</xm:sqref>
            </x14:sparkline>
            <x14:sparkline>
              <xm:f>hDataTotal!C11:V11</xm:f>
              <xm:sqref>B11</xm:sqref>
            </x14:sparkline>
            <x14:sparkline>
              <xm:f>hDataTotal!C12:V12</xm:f>
              <xm:sqref>B12</xm:sqref>
            </x14:sparkline>
            <x14:sparkline>
              <xm:f>hDataTotal!C13:V13</xm:f>
              <xm:sqref>B13</xm:sqref>
            </x14:sparkline>
            <x14:sparkline>
              <xm:f>hDataTotal!C14:V14</xm:f>
              <xm:sqref>B14</xm:sqref>
            </x14:sparkline>
            <x14:sparkline>
              <xm:f>hDataTotal!C15:V15</xm:f>
              <xm:sqref>B15</xm:sqref>
            </x14:sparkline>
            <x14:sparkline>
              <xm:f>hDataTotal!C16:V16</xm:f>
              <xm:sqref>B16</xm:sqref>
            </x14:sparkline>
            <x14:sparkline>
              <xm:f>hDataTotal!C17:V17</xm:f>
              <xm:sqref>B17</xm:sqref>
            </x14:sparkline>
            <x14:sparkline>
              <xm:f>hDataTotal!C18:V18</xm:f>
              <xm:sqref>B18</xm:sqref>
            </x14:sparkline>
            <x14:sparkline>
              <xm:f>hDataTotal!C19:V19</xm:f>
              <xm:sqref>B19</xm:sqref>
            </x14:sparkline>
            <x14:sparkline>
              <xm:f>hDataTotal!C20:V20</xm:f>
              <xm:sqref>B20</xm:sqref>
            </x14:sparkline>
            <x14:sparkline>
              <xm:f>hDataTotal!C21:V21</xm:f>
              <xm:sqref>B21</xm:sqref>
            </x14:sparkline>
            <x14:sparkline>
              <xm:f>hDataTotal!C22:V22</xm:f>
              <xm:sqref>B22</xm:sqref>
            </x14:sparkline>
            <x14:sparkline>
              <xm:f>hDataTotal!C23:V23</xm:f>
              <xm:sqref>B23</xm:sqref>
            </x14:sparkline>
            <x14:sparkline>
              <xm:f>hDataTotal!C24:V24</xm:f>
              <xm:sqref>B24</xm:sqref>
            </x14:sparkline>
            <x14:sparkline>
              <xm:f>hDataTotal!C25:V25</xm:f>
              <xm:sqref>B25</xm:sqref>
            </x14:sparkline>
            <x14:sparkline>
              <xm:f>hDataTotal!C26:V26</xm:f>
              <xm:sqref>B26</xm:sqref>
            </x14:sparkline>
            <x14:sparkline>
              <xm:f>hDataTotal!C27:V27</xm:f>
              <xm:sqref>B27</xm:sqref>
            </x14:sparkline>
            <x14:sparkline>
              <xm:f>hDataTotal!C28:V28</xm:f>
              <xm:sqref>B28</xm:sqref>
            </x14:sparkline>
            <x14:sparkline>
              <xm:f>hDataTotal!C29:V29</xm:f>
              <xm:sqref>B29</xm:sqref>
            </x14:sparkline>
            <x14:sparkline>
              <xm:f>hDataTotal!C30:V30</xm:f>
              <xm:sqref>B30</xm:sqref>
            </x14:sparkline>
            <x14:sparkline>
              <xm:f>hDataTotal!C31:V31</xm:f>
              <xm:sqref>B31</xm:sqref>
            </x14:sparkline>
            <x14:sparkline>
              <xm:f>hDataTotal!C32:V32</xm:f>
              <xm:sqref>B32</xm:sqref>
            </x14:sparkline>
            <x14:sparkline>
              <xm:f>hDataTotal!C33:V33</xm:f>
              <xm:sqref>B33</xm:sqref>
            </x14:sparkline>
            <x14:sparkline>
              <xm:f>hDataTotal!C34:V34</xm:f>
              <xm:sqref>B34</xm:sqref>
            </x14:sparkline>
            <x14:sparkline>
              <xm:f>hDataTotal!C35:V35</xm:f>
              <xm:sqref>B35</xm:sqref>
            </x14:sparkline>
            <x14:sparkline>
              <xm:f>hDataTotal!C36:V36</xm:f>
              <xm:sqref>B36</xm:sqref>
            </x14:sparkline>
            <x14:sparkline>
              <xm:f>hDataTotal!C37:V37</xm:f>
              <xm:sqref>B37</xm:sqref>
            </x14:sparkline>
            <x14:sparkline>
              <xm:f>hDataTotal!C38:V38</xm:f>
              <xm:sqref>B38</xm:sqref>
            </x14:sparkline>
            <x14:sparkline>
              <xm:f>hDataTotal!C39:V39</xm:f>
              <xm:sqref>B39</xm:sqref>
            </x14:sparkline>
            <x14:sparkline>
              <xm:f>hDataTotal!C40:V40</xm:f>
              <xm:sqref>B40</xm:sqref>
            </x14:sparkline>
            <x14:sparkline>
              <xm:f>hDataTotal!C41:V41</xm:f>
              <xm:sqref>B41</xm:sqref>
            </x14:sparkline>
            <x14:sparkline>
              <xm:f>hDataTotal!C42:V42</xm:f>
              <xm:sqref>B42</xm:sqref>
            </x14:sparkline>
            <x14:sparkline>
              <xm:f>hDataTotal!C43:V43</xm:f>
              <xm:sqref>B43</xm:sqref>
            </x14:sparkline>
            <x14:sparkline>
              <xm:f>hDataTotal!C44:V44</xm:f>
              <xm:sqref>B44</xm:sqref>
            </x14:sparkline>
            <x14:sparkline>
              <xm:f>hDataTotal!C45:V45</xm:f>
              <xm:sqref>B45</xm:sqref>
            </x14:sparkline>
            <x14:sparkline>
              <xm:f>hDataTotal!C46:V46</xm:f>
              <xm:sqref>B46</xm:sqref>
            </x14:sparkline>
            <x14:sparkline>
              <xm:f>hDataTotal!C47:V47</xm:f>
              <xm:sqref>B47</xm:sqref>
            </x14:sparkline>
            <x14:sparkline>
              <xm:f>hDataTotal!C48:V48</xm:f>
              <xm:sqref>B48</xm:sqref>
            </x14:sparkline>
            <x14:sparkline>
              <xm:f>hDataTotal!C49:V49</xm:f>
              <xm:sqref>B49</xm:sqref>
            </x14:sparkline>
            <x14:sparkline>
              <xm:f>hDataTotal!C50:V50</xm:f>
              <xm:sqref>B50</xm:sqref>
            </x14:sparkline>
            <x14:sparkline>
              <xm:f>hDataTotal!C51:V51</xm:f>
              <xm:sqref>B51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EA919-7208-4F12-AF37-FFB5A4AEA5AC}">
  <sheetPr codeName="setup_donations">
    <tabColor theme="2" tint="-0.249977111117893"/>
  </sheetPr>
  <dimension ref="A1:D58"/>
  <sheetViews>
    <sheetView zoomScale="98" zoomScaleNormal="98" workbookViewId="0">
      <selection activeCell="F24" sqref="F24"/>
    </sheetView>
  </sheetViews>
  <sheetFormatPr baseColWidth="10" defaultRowHeight="15.05" x14ac:dyDescent="0.3"/>
  <cols>
    <col min="1" max="1" width="31.77734375" style="36" customWidth="1"/>
    <col min="2" max="2" width="25.21875" style="23" customWidth="1"/>
  </cols>
  <sheetData>
    <row r="1" spans="1:4" ht="19.649999999999999" x14ac:dyDescent="0.3">
      <c r="A1" s="103" t="s">
        <v>92</v>
      </c>
      <c r="B1" s="103"/>
    </row>
    <row r="2" spans="1:4" ht="19.649999999999999" x14ac:dyDescent="0.3">
      <c r="A2" s="103" t="s">
        <v>93</v>
      </c>
      <c r="B2" s="103"/>
      <c r="D2" s="23"/>
    </row>
    <row r="3" spans="1:4" x14ac:dyDescent="0.3">
      <c r="A3" s="38" t="s">
        <v>91</v>
      </c>
      <c r="B3" s="39" t="s">
        <v>94</v>
      </c>
    </row>
    <row r="4" spans="1:4" x14ac:dyDescent="0.3">
      <c r="A4" s="40" t="str">
        <f>ClanMembers!B29</f>
        <v>Adya#</v>
      </c>
      <c r="B4" s="39">
        <v>750</v>
      </c>
    </row>
    <row r="5" spans="1:4" x14ac:dyDescent="0.3">
      <c r="A5" s="40" t="str">
        <f>ClanMembers!B22</f>
        <v>AidMaiden</v>
      </c>
      <c r="B5" s="39">
        <v>2100</v>
      </c>
    </row>
    <row r="6" spans="1:4" x14ac:dyDescent="0.3">
      <c r="A6" s="40" t="str">
        <f>ClanMembers!B16</f>
        <v>Aranarth</v>
      </c>
      <c r="B6" s="39">
        <v>2100</v>
      </c>
    </row>
    <row r="7" spans="1:4" x14ac:dyDescent="0.3">
      <c r="A7" s="40" t="str">
        <f>ClanMembers!B51</f>
        <v>Argeta</v>
      </c>
      <c r="B7" s="39">
        <v>0</v>
      </c>
    </row>
    <row r="8" spans="1:4" x14ac:dyDescent="0.3">
      <c r="A8" s="40" t="str">
        <f>ClanMembers!B15</f>
        <v>CelloOr</v>
      </c>
      <c r="B8" s="39">
        <v>2200</v>
      </c>
    </row>
    <row r="9" spans="1:4" x14ac:dyDescent="0.3">
      <c r="A9" s="40" t="str">
        <f>ClanMembers!B8</f>
        <v>cer123</v>
      </c>
      <c r="B9" s="39">
        <v>2800</v>
      </c>
    </row>
    <row r="10" spans="1:4" x14ac:dyDescent="0.3">
      <c r="A10" s="40" t="str">
        <f>ClanMembers!B44</f>
        <v>Sleepyfoot</v>
      </c>
      <c r="B10" s="39">
        <v>4320</v>
      </c>
    </row>
    <row r="11" spans="1:4" x14ac:dyDescent="0.3">
      <c r="A11" s="40" t="str">
        <f>ClanMembers!B49</f>
        <v>demonlord#</v>
      </c>
      <c r="B11" s="39">
        <v>0</v>
      </c>
    </row>
    <row r="12" spans="1:4" x14ac:dyDescent="0.3">
      <c r="A12" s="40" t="str">
        <f>ClanMembers!B38</f>
        <v>easy%</v>
      </c>
      <c r="B12" s="39">
        <v>0</v>
      </c>
    </row>
    <row r="13" spans="1:4" x14ac:dyDescent="0.3">
      <c r="A13" s="40" t="str">
        <f>ClanMembers!B50</f>
        <v>Electromagnetic</v>
      </c>
      <c r="B13" s="39">
        <v>0</v>
      </c>
    </row>
    <row r="14" spans="1:4" x14ac:dyDescent="0.3">
      <c r="A14" s="40" t="str">
        <f>ClanMembers!B18</f>
        <v>Giann0s</v>
      </c>
      <c r="B14" s="39">
        <v>1200</v>
      </c>
    </row>
    <row r="15" spans="1:4" x14ac:dyDescent="0.3">
      <c r="A15" s="40" t="str">
        <f>ClanMembers!B4</f>
        <v>GoKU</v>
      </c>
      <c r="B15" s="39">
        <v>3305</v>
      </c>
    </row>
    <row r="16" spans="1:4" x14ac:dyDescent="0.3">
      <c r="A16" s="40" t="str">
        <f>ClanMembers!B19</f>
        <v>HARLEY8QUINN</v>
      </c>
      <c r="B16" s="39">
        <v>2100</v>
      </c>
    </row>
    <row r="17" spans="1:2" x14ac:dyDescent="0.3">
      <c r="A17" s="40" t="str">
        <f>ClanMembers!B41</f>
        <v>Herp??s</v>
      </c>
      <c r="B17" s="39">
        <v>0</v>
      </c>
    </row>
    <row r="18" spans="1:2" x14ac:dyDescent="0.3">
      <c r="A18" s="40" t="str">
        <f>ClanMembers!B12</f>
        <v>hisroyalbadness</v>
      </c>
      <c r="B18" s="39">
        <v>3165</v>
      </c>
    </row>
    <row r="19" spans="1:2" x14ac:dyDescent="0.3">
      <c r="A19" s="40" t="str">
        <f>ClanMembers!B30</f>
        <v>hliasmpinas</v>
      </c>
      <c r="B19" s="39">
        <v>550</v>
      </c>
    </row>
    <row r="20" spans="1:2" x14ac:dyDescent="0.3">
      <c r="A20" s="40" t="str">
        <f>ClanMembers!B47</f>
        <v>Mk</v>
      </c>
      <c r="B20" s="39">
        <v>0</v>
      </c>
    </row>
    <row r="21" spans="1:2" x14ac:dyDescent="0.3">
      <c r="A21" s="40" t="str">
        <f>ClanMembers!B32</f>
        <v>iDaevart</v>
      </c>
      <c r="B21" s="39">
        <v>0</v>
      </c>
    </row>
    <row r="22" spans="1:2" x14ac:dyDescent="0.3">
      <c r="A22" s="40" t="str">
        <f>ClanMembers!B40</f>
        <v>INVICTUS1</v>
      </c>
      <c r="B22" s="39">
        <v>150</v>
      </c>
    </row>
    <row r="23" spans="1:2" x14ac:dyDescent="0.3">
      <c r="A23" s="40" t="str">
        <f>ClanMembers!B25</f>
        <v>jiggas</v>
      </c>
      <c r="B23" s="39">
        <v>0</v>
      </c>
    </row>
    <row r="24" spans="1:2" x14ac:dyDescent="0.3">
      <c r="A24" s="40" t="str">
        <f>ClanMembers!B42</f>
        <v>Jyk78</v>
      </c>
      <c r="B24" s="39">
        <v>1460</v>
      </c>
    </row>
    <row r="25" spans="1:2" x14ac:dyDescent="0.3">
      <c r="A25" s="40" t="e">
        <f>ClanMembers!#REF!</f>
        <v>#REF!</v>
      </c>
      <c r="B25" s="39">
        <v>0</v>
      </c>
    </row>
    <row r="26" spans="1:2" x14ac:dyDescent="0.3">
      <c r="A26" s="40" t="str">
        <f>ClanMembers!B14</f>
        <v>KelvinLGW</v>
      </c>
      <c r="B26" s="39">
        <v>3380</v>
      </c>
    </row>
    <row r="27" spans="1:2" x14ac:dyDescent="0.3">
      <c r="A27" s="40" t="str">
        <f>ClanMembers!B31</f>
        <v>ksmnsns</v>
      </c>
      <c r="B27" s="39">
        <v>2385</v>
      </c>
    </row>
    <row r="28" spans="1:2" x14ac:dyDescent="0.3">
      <c r="A28" s="40" t="str">
        <f>ClanMembers!B24</f>
        <v>Kyuremate</v>
      </c>
      <c r="B28" s="39">
        <v>2885</v>
      </c>
    </row>
    <row r="29" spans="1:2" x14ac:dyDescent="0.3">
      <c r="A29" s="40" t="str">
        <f>ClanMembers!B39</f>
        <v>Lumiel</v>
      </c>
      <c r="B29" s="39">
        <v>0</v>
      </c>
    </row>
    <row r="30" spans="1:2" x14ac:dyDescent="0.3">
      <c r="A30" s="40" t="str">
        <f>ClanMembers!B17</f>
        <v>LythBery</v>
      </c>
      <c r="B30" s="39">
        <v>3945</v>
      </c>
    </row>
    <row r="31" spans="1:2" x14ac:dyDescent="0.3">
      <c r="A31" s="40" t="str">
        <f>ClanMembers!B46</f>
        <v>Mikilon#</v>
      </c>
      <c r="B31" s="39">
        <v>2835</v>
      </c>
    </row>
    <row r="32" spans="1:2" x14ac:dyDescent="0.3">
      <c r="A32" s="40" t="str">
        <f>ClanMembers!B48</f>
        <v>Hoofknife</v>
      </c>
      <c r="B32" s="39">
        <v>2810</v>
      </c>
    </row>
    <row r="33" spans="1:3" x14ac:dyDescent="0.3">
      <c r="A33" s="40" t="str">
        <f>ClanMembers!B34</f>
        <v>Mlia</v>
      </c>
      <c r="B33" s="39">
        <v>0</v>
      </c>
    </row>
    <row r="34" spans="1:3" x14ac:dyDescent="0.3">
      <c r="A34" s="40" t="str">
        <f>ClanMembers!B7</f>
        <v>Momot</v>
      </c>
      <c r="B34" s="39">
        <v>1500</v>
      </c>
    </row>
    <row r="35" spans="1:3" x14ac:dyDescent="0.3">
      <c r="A35" s="40" t="str">
        <f>ClanMembers!B11</f>
        <v>MORDALF</v>
      </c>
      <c r="B35" s="39">
        <v>3150</v>
      </c>
    </row>
    <row r="36" spans="1:3" x14ac:dyDescent="0.3">
      <c r="A36" s="40" t="str">
        <f>ClanMembers!B20</f>
        <v>Moschino9</v>
      </c>
      <c r="B36" s="39">
        <v>3445</v>
      </c>
    </row>
    <row r="37" spans="1:3" x14ac:dyDescent="0.3">
      <c r="A37" s="40" t="str">
        <f>ClanMembers!B26</f>
        <v>Nyxxie</v>
      </c>
      <c r="B37" s="39">
        <v>400</v>
      </c>
    </row>
    <row r="38" spans="1:3" x14ac:dyDescent="0.3">
      <c r="A38" s="40" t="str">
        <f>ClanMembers!B33</f>
        <v>Orkesh</v>
      </c>
      <c r="B38" s="39">
        <v>3285</v>
      </c>
    </row>
    <row r="39" spans="1:3" x14ac:dyDescent="0.3">
      <c r="A39" s="40" t="str">
        <f>ClanMembers!B37</f>
        <v>rabitoon</v>
      </c>
      <c r="B39" s="39">
        <v>2100</v>
      </c>
    </row>
    <row r="40" spans="1:3" x14ac:dyDescent="0.3">
      <c r="A40" s="40" t="str">
        <f>ClanMembers!B5</f>
        <v>rebuild</v>
      </c>
      <c r="B40" s="39">
        <v>3150</v>
      </c>
    </row>
    <row r="41" spans="1:3" x14ac:dyDescent="0.3">
      <c r="A41" s="40" t="str">
        <f>ClanMembers!B36</f>
        <v>reQuim</v>
      </c>
      <c r="B41" s="39">
        <v>1960</v>
      </c>
    </row>
    <row r="42" spans="1:3" x14ac:dyDescent="0.3">
      <c r="A42" s="40" t="str">
        <f>ClanMembers!B27</f>
        <v>sam1</v>
      </c>
      <c r="B42" s="39">
        <v>2100</v>
      </c>
    </row>
    <row r="43" spans="1:3" x14ac:dyDescent="0.3">
      <c r="A43" s="40" t="str">
        <f>ClanMembers!B43</f>
        <v>CodeGirl20</v>
      </c>
      <c r="B43" s="39">
        <v>450</v>
      </c>
    </row>
    <row r="44" spans="1:3" x14ac:dyDescent="0.3">
      <c r="A44" s="40" t="str">
        <f>ClanMembers!B35</f>
        <v>Stavr0sNorth</v>
      </c>
      <c r="B44" s="39">
        <v>900</v>
      </c>
    </row>
    <row r="45" spans="1:3" x14ac:dyDescent="0.3">
      <c r="A45" s="40" t="str">
        <f>ClanMembers!B21</f>
        <v>SVA</v>
      </c>
      <c r="B45" s="39">
        <v>2890</v>
      </c>
    </row>
    <row r="46" spans="1:3" x14ac:dyDescent="0.3">
      <c r="A46" s="40" t="str">
        <f>ClanMembers!B3</f>
        <v>Talon</v>
      </c>
      <c r="B46" s="39">
        <v>3810</v>
      </c>
      <c r="C46" s="34"/>
    </row>
    <row r="47" spans="1:3" x14ac:dyDescent="0.3">
      <c r="A47" s="40" t="str">
        <f>ClanMembers!B13</f>
        <v>theflash123</v>
      </c>
      <c r="B47" s="39">
        <v>0</v>
      </c>
      <c r="C47" s="34"/>
    </row>
    <row r="48" spans="1:3" x14ac:dyDescent="0.3">
      <c r="A48" s="40" t="str">
        <f>ClanMembers!B45</f>
        <v>TheKingOfOrcs</v>
      </c>
      <c r="B48" s="39">
        <v>0</v>
      </c>
      <c r="C48" s="34"/>
    </row>
    <row r="49" spans="1:3" x14ac:dyDescent="0.3">
      <c r="A49" s="40" t="str">
        <f>ClanMembers!B10</f>
        <v>Trenta</v>
      </c>
      <c r="B49" s="39">
        <v>3150</v>
      </c>
      <c r="C49" s="34"/>
    </row>
    <row r="50" spans="1:3" x14ac:dyDescent="0.3">
      <c r="A50" s="40" t="str">
        <f>ClanMembers!B6</f>
        <v>ttman</v>
      </c>
      <c r="B50" s="39">
        <v>3450</v>
      </c>
      <c r="C50" s="34"/>
    </row>
    <row r="51" spans="1:3" x14ac:dyDescent="0.3">
      <c r="A51" s="40" t="str">
        <f>ClanMembers!B23</f>
        <v>waaarghzomg</v>
      </c>
      <c r="B51" s="39">
        <v>0</v>
      </c>
      <c r="C51" s="34"/>
    </row>
    <row r="52" spans="1:3" x14ac:dyDescent="0.3">
      <c r="A52" s="40" t="str">
        <f>ClanMembers!B28</f>
        <v>Yakobus</v>
      </c>
      <c r="B52" s="39">
        <v>1800</v>
      </c>
      <c r="C52" s="34"/>
    </row>
    <row r="53" spans="1:3" x14ac:dyDescent="0.3">
      <c r="A53" s="40" t="str">
        <f>ClanMembers!B9</f>
        <v>zingaraus</v>
      </c>
      <c r="B53" s="39">
        <v>1820</v>
      </c>
      <c r="C53" s="34"/>
    </row>
    <row r="54" spans="1:3" x14ac:dyDescent="0.3">
      <c r="A54" s="37"/>
      <c r="B54" s="35"/>
      <c r="C54" s="34"/>
    </row>
    <row r="55" spans="1:3" x14ac:dyDescent="0.3">
      <c r="A55" s="37"/>
      <c r="B55" s="35"/>
      <c r="C55" s="34"/>
    </row>
    <row r="56" spans="1:3" x14ac:dyDescent="0.3">
      <c r="A56" s="37"/>
      <c r="B56" s="35"/>
      <c r="C56" s="34"/>
    </row>
    <row r="57" spans="1:3" x14ac:dyDescent="0.3">
      <c r="A57" s="37"/>
      <c r="B57" s="35"/>
      <c r="C57" s="34"/>
    </row>
    <row r="58" spans="1:3" x14ac:dyDescent="0.3">
      <c r="A58" s="37"/>
      <c r="B58" s="35"/>
      <c r="C58" s="34"/>
    </row>
  </sheetData>
  <mergeCells count="2">
    <mergeCell ref="A1:B1"/>
    <mergeCell ref="A2:B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etup_donations.AddDonationsToMembersSheet">
                <anchor moveWithCells="1" sizeWithCells="1">
                  <from>
                    <xdr:col>2</xdr:col>
                    <xdr:colOff>282633</xdr:colOff>
                    <xdr:row>0</xdr:row>
                    <xdr:rowOff>174567</xdr:rowOff>
                  </from>
                  <to>
                    <xdr:col>5</xdr:col>
                    <xdr:colOff>440575</xdr:colOff>
                    <xdr:row>6</xdr:row>
                    <xdr:rowOff>8313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D8FBB-0871-4E85-ADA7-846FC4DBB97E}">
  <sheetPr codeName="ClanDungeonFrontend">
    <tabColor rgb="FFFF0000"/>
  </sheetPr>
  <dimension ref="A1:H11"/>
  <sheetViews>
    <sheetView workbookViewId="0">
      <selection activeCell="G14" sqref="G14"/>
    </sheetView>
  </sheetViews>
  <sheetFormatPr baseColWidth="10" defaultRowHeight="15.05" x14ac:dyDescent="0.3"/>
  <cols>
    <col min="1" max="1" width="17.21875" customWidth="1"/>
    <col min="2" max="2" width="3" customWidth="1"/>
    <col min="3" max="3" width="18" customWidth="1"/>
    <col min="4" max="4" width="5.5546875" customWidth="1"/>
    <col min="5" max="5" width="25.21875" customWidth="1"/>
    <col min="6" max="6" width="4.44140625" customWidth="1"/>
    <col min="7" max="7" width="35.77734375" customWidth="1"/>
    <col min="8" max="8" width="29.77734375" customWidth="1"/>
  </cols>
  <sheetData>
    <row r="1" spans="1:8" ht="34.549999999999997" customHeight="1" x14ac:dyDescent="0.45">
      <c r="A1" s="19" t="s">
        <v>15</v>
      </c>
      <c r="B1" s="7"/>
      <c r="C1" s="20" t="s">
        <v>16</v>
      </c>
      <c r="D1" s="8"/>
      <c r="E1" s="106"/>
      <c r="F1" s="9"/>
      <c r="G1" s="93"/>
    </row>
    <row r="2" spans="1:8" x14ac:dyDescent="0.3">
      <c r="A2" s="17" t="s">
        <v>8</v>
      </c>
      <c r="B2" s="6"/>
      <c r="C2" s="18" t="s">
        <v>10</v>
      </c>
      <c r="D2" s="4"/>
      <c r="E2" s="107"/>
      <c r="F2" s="105"/>
      <c r="G2" s="93" t="str">
        <f>CONCATENATE(A2," [",C2,"] - ALL COME!")</f>
        <v>Tiat [easy] - ALL COME!</v>
      </c>
    </row>
    <row r="3" spans="1:8" ht="13.6" customHeight="1" x14ac:dyDescent="0.3">
      <c r="A3" s="10"/>
      <c r="B3" s="4"/>
      <c r="C3" s="4"/>
      <c r="D3" s="4"/>
      <c r="E3" s="5"/>
      <c r="F3" s="105"/>
      <c r="G3" s="93"/>
    </row>
    <row r="4" spans="1:8" ht="27.85" customHeight="1" x14ac:dyDescent="0.35">
      <c r="A4" s="21" t="s">
        <v>17</v>
      </c>
      <c r="B4" s="4"/>
      <c r="C4" s="15" t="s">
        <v>4</v>
      </c>
      <c r="D4" s="4"/>
      <c r="E4" s="109"/>
      <c r="F4" s="105"/>
      <c r="G4" s="110" t="str">
        <f>CONCATENATE(A5," GO!"," (",A2," - ",C2,")")</f>
        <v>CodeGirl20 GO! (Tiat - easy)</v>
      </c>
      <c r="H4" s="104"/>
    </row>
    <row r="5" spans="1:8" ht="27.85" customHeight="1" x14ac:dyDescent="0.3">
      <c r="A5" s="17" t="s">
        <v>137</v>
      </c>
      <c r="B5" s="4"/>
      <c r="C5" s="16">
        <f>VLOOKUP(A5,ClanMembers!B3:H51,2,FALSE)</f>
        <v>455</v>
      </c>
      <c r="D5" s="4"/>
      <c r="E5" s="109"/>
      <c r="F5" s="105"/>
      <c r="G5" s="110"/>
      <c r="H5" s="104"/>
    </row>
    <row r="6" spans="1:8" ht="14.25" customHeight="1" x14ac:dyDescent="0.3">
      <c r="A6" s="10"/>
      <c r="B6" s="4"/>
      <c r="C6" s="4"/>
      <c r="D6" s="4"/>
      <c r="E6" s="5"/>
      <c r="F6" s="11"/>
    </row>
    <row r="7" spans="1:8" x14ac:dyDescent="0.3">
      <c r="A7" s="10"/>
      <c r="B7" s="4"/>
      <c r="C7" s="108" t="s">
        <v>18</v>
      </c>
      <c r="D7" s="108"/>
      <c r="E7" s="108"/>
      <c r="F7" s="11"/>
    </row>
    <row r="8" spans="1:8" x14ac:dyDescent="0.3">
      <c r="A8" s="10"/>
      <c r="B8" s="4"/>
      <c r="C8" s="31" t="s">
        <v>168</v>
      </c>
      <c r="D8" s="32"/>
      <c r="E8" s="33"/>
      <c r="F8" s="11"/>
    </row>
    <row r="9" spans="1:8" ht="15.75" thickBot="1" x14ac:dyDescent="0.35">
      <c r="A9" s="12"/>
      <c r="B9" s="13"/>
      <c r="C9" s="13"/>
      <c r="D9" s="13"/>
      <c r="E9" s="13"/>
      <c r="F9" s="14"/>
    </row>
    <row r="11" spans="1:8" x14ac:dyDescent="0.3">
      <c r="D11" s="104"/>
      <c r="E11" s="104"/>
    </row>
  </sheetData>
  <mergeCells count="7">
    <mergeCell ref="D11:E11"/>
    <mergeCell ref="H4:H5"/>
    <mergeCell ref="F2:F5"/>
    <mergeCell ref="E1:E2"/>
    <mergeCell ref="C7:E7"/>
    <mergeCell ref="E4:E5"/>
    <mergeCell ref="G4:G5"/>
  </mergeCells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3" r:id="rId4" name="AnnounceMVPForThisDungeon">
          <controlPr defaultSize="0" autoLine="0" altText="Click this button to prepare the announcement for the player who should get MVP for the announced CD._x000d__x000a__x000d__x000a_Announement string gets copied to your clipboard. So you just need to ctrl. + v ingame." r:id="rId5">
            <anchor moveWithCells="1">
              <from>
                <xdr:col>4</xdr:col>
                <xdr:colOff>41564</xdr:colOff>
                <xdr:row>3</xdr:row>
                <xdr:rowOff>49876</xdr:rowOff>
              </from>
              <to>
                <xdr:col>4</xdr:col>
                <xdr:colOff>1645920</xdr:colOff>
                <xdr:row>4</xdr:row>
                <xdr:rowOff>307571</xdr:rowOff>
              </to>
            </anchor>
          </controlPr>
        </control>
      </mc:Choice>
      <mc:Fallback>
        <control shapeId="2053" r:id="rId4" name="AnnounceMVPForThisDungeon"/>
      </mc:Fallback>
    </mc:AlternateContent>
    <mc:AlternateContent xmlns:mc="http://schemas.openxmlformats.org/markup-compatibility/2006">
      <mc:Choice Requires="x14">
        <control shapeId="2052" r:id="rId6" name="upcomming_CD">
          <controlPr defaultSize="0" autoLine="0" autoPict="0" altText="Click this button to prepare the announcement for the upcomming CD._x000d__x000a__x000d__x000a_Announement string gets copied to your clipboard. So you just need to ctrl. + v ingame." r:id="rId7">
            <anchor moveWithCells="1">
              <from>
                <xdr:col>4</xdr:col>
                <xdr:colOff>41564</xdr:colOff>
                <xdr:row>0</xdr:row>
                <xdr:rowOff>49876</xdr:rowOff>
              </from>
              <to>
                <xdr:col>4</xdr:col>
                <xdr:colOff>1629295</xdr:colOff>
                <xdr:row>1</xdr:row>
                <xdr:rowOff>166255</xdr:rowOff>
              </to>
            </anchor>
          </controlPr>
        </control>
      </mc:Choice>
      <mc:Fallback>
        <control shapeId="2052" r:id="rId6" name="upcomming_C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6DB43EBF-CCE9-4CEC-BB09-7D228F7081E3}">
          <x14:formula1>
            <xm:f>hCDs!$A$1:$A$4</xm:f>
          </x14:formula1>
          <xm:sqref>A2:B2</xm:sqref>
        </x14:dataValidation>
        <x14:dataValidation type="list" allowBlank="1" showInputMessage="1" showErrorMessage="1" xr:uid="{5F02D3B7-F3D7-44A8-94D9-DDCFDEE42A26}">
          <x14:formula1>
            <xm:f>hCDs!$B$1:$B$5</xm:f>
          </x14:formula1>
          <xm:sqref>C2</xm:sqref>
        </x14:dataValidation>
        <x14:dataValidation type="list" allowBlank="1" showInputMessage="1" showErrorMessage="1" xr:uid="{CFE6D0B4-F2D5-4C6F-A6F6-D94A02F08065}">
          <x14:formula1>
            <xm:f>ClanMembers!$B$4:$B$51</xm:f>
          </x14:formula1>
          <xm:sqref>A5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265F5-13C8-47D7-BCE0-272A22DC0CAF}">
  <sheetPr codeName="Tabelle4">
    <tabColor rgb="FFFF89C4"/>
  </sheetPr>
  <dimension ref="A1:D97"/>
  <sheetViews>
    <sheetView workbookViewId="0">
      <selection activeCell="G36" sqref="G36"/>
    </sheetView>
  </sheetViews>
  <sheetFormatPr baseColWidth="10" defaultRowHeight="15.05" x14ac:dyDescent="0.3"/>
  <cols>
    <col min="1" max="1" width="11.109375" style="24" customWidth="1"/>
    <col min="2" max="2" width="17.88671875" style="23" bestFit="1" customWidth="1"/>
    <col min="3" max="3" width="7.5546875" style="22" bestFit="1" customWidth="1"/>
    <col min="4" max="4" width="17.88671875" style="23" bestFit="1" customWidth="1"/>
  </cols>
  <sheetData>
    <row r="1" spans="1:2" x14ac:dyDescent="0.3">
      <c r="A1" s="24" t="s">
        <v>81</v>
      </c>
      <c r="B1" s="23" t="s">
        <v>82</v>
      </c>
    </row>
    <row r="2" spans="1:2" x14ac:dyDescent="0.3">
      <c r="A2" s="24">
        <v>131</v>
      </c>
      <c r="B2" s="23" t="s">
        <v>36</v>
      </c>
    </row>
    <row r="3" spans="1:2" x14ac:dyDescent="0.3">
      <c r="A3" s="24">
        <v>130</v>
      </c>
      <c r="B3" s="23" t="s">
        <v>0</v>
      </c>
    </row>
    <row r="4" spans="1:2" x14ac:dyDescent="0.3">
      <c r="A4" s="24">
        <v>133</v>
      </c>
      <c r="B4" s="23" t="s">
        <v>37</v>
      </c>
    </row>
    <row r="5" spans="1:2" x14ac:dyDescent="0.3">
      <c r="A5" s="24">
        <v>132</v>
      </c>
      <c r="B5" s="23" t="s">
        <v>0</v>
      </c>
    </row>
    <row r="6" spans="1:2" x14ac:dyDescent="0.3">
      <c r="A6" s="24">
        <v>135</v>
      </c>
      <c r="B6" s="23" t="s">
        <v>38</v>
      </c>
    </row>
    <row r="7" spans="1:2" x14ac:dyDescent="0.3">
      <c r="A7" s="24">
        <v>134</v>
      </c>
      <c r="B7" s="23" t="s">
        <v>0</v>
      </c>
    </row>
    <row r="8" spans="1:2" x14ac:dyDescent="0.3">
      <c r="A8" s="24">
        <v>136</v>
      </c>
      <c r="B8" s="23" t="s">
        <v>0</v>
      </c>
    </row>
    <row r="9" spans="1:2" x14ac:dyDescent="0.3">
      <c r="A9" s="24">
        <v>91</v>
      </c>
      <c r="B9" s="23" t="s">
        <v>19</v>
      </c>
    </row>
    <row r="10" spans="1:2" x14ac:dyDescent="0.3">
      <c r="A10" s="24">
        <v>92</v>
      </c>
      <c r="B10" s="23" t="s">
        <v>30</v>
      </c>
    </row>
    <row r="11" spans="1:2" x14ac:dyDescent="0.3">
      <c r="A11" s="24">
        <v>97</v>
      </c>
      <c r="B11" s="23" t="s">
        <v>78</v>
      </c>
    </row>
    <row r="12" spans="1:2" x14ac:dyDescent="0.3">
      <c r="A12" s="24">
        <v>10</v>
      </c>
      <c r="B12" s="23" t="s">
        <v>20</v>
      </c>
    </row>
    <row r="13" spans="1:2" x14ac:dyDescent="0.3">
      <c r="A13" s="24">
        <v>98</v>
      </c>
      <c r="B13" s="23" t="s">
        <v>79</v>
      </c>
    </row>
    <row r="14" spans="1:2" x14ac:dyDescent="0.3">
      <c r="A14" s="24">
        <v>11</v>
      </c>
      <c r="B14" s="23" t="s">
        <v>28</v>
      </c>
    </row>
    <row r="15" spans="1:2" x14ac:dyDescent="0.3">
      <c r="A15" s="24">
        <v>99</v>
      </c>
      <c r="B15" s="23" t="s">
        <v>80</v>
      </c>
    </row>
    <row r="16" spans="1:2" x14ac:dyDescent="0.3">
      <c r="A16" s="24">
        <v>12</v>
      </c>
      <c r="B16" s="23" t="s">
        <v>29</v>
      </c>
    </row>
    <row r="17" spans="1:2" x14ac:dyDescent="0.3">
      <c r="A17" s="24">
        <v>93</v>
      </c>
      <c r="B17" s="23" t="s">
        <v>31</v>
      </c>
    </row>
    <row r="18" spans="1:2" x14ac:dyDescent="0.3">
      <c r="A18" s="24">
        <v>94</v>
      </c>
      <c r="B18" s="23" t="s">
        <v>32</v>
      </c>
    </row>
    <row r="19" spans="1:2" x14ac:dyDescent="0.3">
      <c r="A19" s="24">
        <v>95</v>
      </c>
      <c r="B19" s="23" t="s">
        <v>76</v>
      </c>
    </row>
    <row r="20" spans="1:2" x14ac:dyDescent="0.3">
      <c r="A20" s="24">
        <v>96</v>
      </c>
      <c r="B20" s="23" t="s">
        <v>77</v>
      </c>
    </row>
    <row r="21" spans="1:2" x14ac:dyDescent="0.3">
      <c r="A21" s="24">
        <v>128</v>
      </c>
      <c r="B21" s="23" t="s">
        <v>0</v>
      </c>
    </row>
    <row r="22" spans="1:2" x14ac:dyDescent="0.3">
      <c r="A22" s="24">
        <v>127</v>
      </c>
      <c r="B22" s="23" t="s">
        <v>34</v>
      </c>
    </row>
    <row r="23" spans="1:2" x14ac:dyDescent="0.3">
      <c r="A23" s="24">
        <v>129</v>
      </c>
      <c r="B23" s="23" t="s">
        <v>35</v>
      </c>
    </row>
    <row r="24" spans="1:2" x14ac:dyDescent="0.3">
      <c r="A24" s="24">
        <v>13</v>
      </c>
      <c r="B24" s="23" t="s">
        <v>19</v>
      </c>
    </row>
    <row r="25" spans="1:2" x14ac:dyDescent="0.3">
      <c r="A25" s="24">
        <v>14</v>
      </c>
      <c r="B25" s="23" t="s">
        <v>39</v>
      </c>
    </row>
    <row r="26" spans="1:2" x14ac:dyDescent="0.3">
      <c r="A26" s="24">
        <v>15</v>
      </c>
      <c r="B26" s="23" t="s">
        <v>40</v>
      </c>
    </row>
    <row r="27" spans="1:2" x14ac:dyDescent="0.3">
      <c r="A27" s="24">
        <v>16</v>
      </c>
      <c r="B27" s="23" t="s">
        <v>44</v>
      </c>
    </row>
    <row r="28" spans="1:2" x14ac:dyDescent="0.3">
      <c r="A28" s="24">
        <v>7</v>
      </c>
      <c r="B28" s="23" t="s">
        <v>66</v>
      </c>
    </row>
    <row r="29" spans="1:2" x14ac:dyDescent="0.3">
      <c r="A29" s="24">
        <v>6</v>
      </c>
      <c r="B29" s="23" t="s">
        <v>60</v>
      </c>
    </row>
    <row r="30" spans="1:2" x14ac:dyDescent="0.3">
      <c r="A30" s="24">
        <v>100</v>
      </c>
      <c r="B30" s="23" t="s">
        <v>21</v>
      </c>
    </row>
    <row r="31" spans="1:2" x14ac:dyDescent="0.3">
      <c r="A31" s="24">
        <v>9</v>
      </c>
      <c r="B31" s="23" t="s">
        <v>75</v>
      </c>
    </row>
    <row r="32" spans="1:2" x14ac:dyDescent="0.3">
      <c r="A32" s="24">
        <v>8</v>
      </c>
      <c r="B32" s="23" t="s">
        <v>74</v>
      </c>
    </row>
    <row r="33" spans="1:2" x14ac:dyDescent="0.3">
      <c r="A33" s="24">
        <v>102</v>
      </c>
      <c r="B33" s="23" t="s">
        <v>23</v>
      </c>
    </row>
    <row r="34" spans="1:2" x14ac:dyDescent="0.3">
      <c r="A34" s="24">
        <v>101</v>
      </c>
      <c r="B34" s="23" t="s">
        <v>22</v>
      </c>
    </row>
    <row r="35" spans="1:2" x14ac:dyDescent="0.3">
      <c r="A35" s="24">
        <v>104</v>
      </c>
      <c r="B35" s="23" t="s">
        <v>25</v>
      </c>
    </row>
    <row r="36" spans="1:2" x14ac:dyDescent="0.3">
      <c r="A36" s="24">
        <v>103</v>
      </c>
      <c r="B36" s="23" t="s">
        <v>24</v>
      </c>
    </row>
    <row r="37" spans="1:2" x14ac:dyDescent="0.3">
      <c r="A37" s="24">
        <v>64</v>
      </c>
      <c r="B37" s="23" t="s">
        <v>32</v>
      </c>
    </row>
    <row r="38" spans="1:2" x14ac:dyDescent="0.3">
      <c r="A38" s="24">
        <v>65</v>
      </c>
      <c r="B38" s="23" t="s">
        <v>61</v>
      </c>
    </row>
    <row r="39" spans="1:2" x14ac:dyDescent="0.3">
      <c r="A39" s="24">
        <v>66</v>
      </c>
      <c r="B39" s="23" t="s">
        <v>62</v>
      </c>
    </row>
    <row r="40" spans="1:2" x14ac:dyDescent="0.3">
      <c r="A40" s="24">
        <v>67</v>
      </c>
      <c r="B40" s="23" t="s">
        <v>63</v>
      </c>
    </row>
    <row r="41" spans="1:2" x14ac:dyDescent="0.3">
      <c r="A41" s="24">
        <v>61</v>
      </c>
      <c r="B41" s="23" t="s">
        <v>19</v>
      </c>
    </row>
    <row r="42" spans="1:2" x14ac:dyDescent="0.3">
      <c r="A42" s="24">
        <v>62</v>
      </c>
      <c r="B42" s="23" t="s">
        <v>30</v>
      </c>
    </row>
    <row r="43" spans="1:2" x14ac:dyDescent="0.3">
      <c r="A43" s="24">
        <v>63</v>
      </c>
      <c r="B43" s="23" t="s">
        <v>31</v>
      </c>
    </row>
    <row r="44" spans="1:2" x14ac:dyDescent="0.3">
      <c r="A44" s="24">
        <v>68</v>
      </c>
      <c r="B44" s="23" t="s">
        <v>64</v>
      </c>
    </row>
    <row r="45" spans="1:2" x14ac:dyDescent="0.3">
      <c r="A45" s="24">
        <v>69</v>
      </c>
      <c r="B45" s="23" t="s">
        <v>65</v>
      </c>
    </row>
    <row r="46" spans="1:2" x14ac:dyDescent="0.3">
      <c r="A46" s="24">
        <v>153</v>
      </c>
      <c r="B46" s="23" t="s">
        <v>31</v>
      </c>
    </row>
    <row r="47" spans="1:2" x14ac:dyDescent="0.3">
      <c r="A47" s="24">
        <v>152</v>
      </c>
      <c r="B47" s="23" t="s">
        <v>30</v>
      </c>
    </row>
    <row r="48" spans="1:2" x14ac:dyDescent="0.3">
      <c r="A48" s="24">
        <v>155</v>
      </c>
      <c r="B48" s="23" t="s">
        <v>41</v>
      </c>
    </row>
    <row r="49" spans="1:2" x14ac:dyDescent="0.3">
      <c r="A49" s="24">
        <v>154</v>
      </c>
      <c r="B49" s="23" t="s">
        <v>32</v>
      </c>
    </row>
    <row r="50" spans="1:2" x14ac:dyDescent="0.3">
      <c r="A50" s="24">
        <v>157</v>
      </c>
      <c r="B50" s="23" t="s">
        <v>42</v>
      </c>
    </row>
    <row r="51" spans="1:2" x14ac:dyDescent="0.3">
      <c r="A51" s="24">
        <v>156</v>
      </c>
      <c r="B51" s="23" t="s">
        <v>0</v>
      </c>
    </row>
    <row r="52" spans="1:2" x14ac:dyDescent="0.3">
      <c r="A52" s="24">
        <v>159</v>
      </c>
      <c r="B52" s="23" t="s">
        <v>43</v>
      </c>
    </row>
    <row r="53" spans="1:2" x14ac:dyDescent="0.3">
      <c r="A53" s="24">
        <v>158</v>
      </c>
      <c r="B53" s="23" t="s">
        <v>0</v>
      </c>
    </row>
    <row r="54" spans="1:2" x14ac:dyDescent="0.3">
      <c r="A54" s="24">
        <v>70</v>
      </c>
      <c r="B54" s="23" t="s">
        <v>67</v>
      </c>
    </row>
    <row r="55" spans="1:2" x14ac:dyDescent="0.3">
      <c r="A55" s="24">
        <v>151</v>
      </c>
      <c r="B55" s="23" t="s">
        <v>19</v>
      </c>
    </row>
    <row r="56" spans="1:2" x14ac:dyDescent="0.3">
      <c r="A56" s="24">
        <v>31</v>
      </c>
      <c r="B56" s="23" t="s">
        <v>19</v>
      </c>
    </row>
    <row r="57" spans="1:2" x14ac:dyDescent="0.3">
      <c r="A57" s="24">
        <v>75</v>
      </c>
      <c r="B57" s="23" t="s">
        <v>72</v>
      </c>
    </row>
    <row r="58" spans="1:2" x14ac:dyDescent="0.3">
      <c r="A58" s="24">
        <v>32</v>
      </c>
      <c r="B58" s="23" t="s">
        <v>30</v>
      </c>
    </row>
    <row r="59" spans="1:2" x14ac:dyDescent="0.3">
      <c r="A59" s="24">
        <v>76</v>
      </c>
      <c r="B59" s="23" t="s">
        <v>73</v>
      </c>
    </row>
    <row r="60" spans="1:2" x14ac:dyDescent="0.3">
      <c r="A60" s="24">
        <v>33</v>
      </c>
      <c r="B60" s="23" t="s">
        <v>31</v>
      </c>
    </row>
    <row r="61" spans="1:2" x14ac:dyDescent="0.3">
      <c r="A61" s="24">
        <v>34</v>
      </c>
      <c r="B61" s="23" t="s">
        <v>32</v>
      </c>
    </row>
    <row r="62" spans="1:2" x14ac:dyDescent="0.3">
      <c r="A62" s="24">
        <v>71</v>
      </c>
      <c r="B62" s="23" t="s">
        <v>68</v>
      </c>
    </row>
    <row r="63" spans="1:2" x14ac:dyDescent="0.3">
      <c r="A63" s="24">
        <v>72</v>
      </c>
      <c r="B63" s="23" t="s">
        <v>69</v>
      </c>
    </row>
    <row r="64" spans="1:2" x14ac:dyDescent="0.3">
      <c r="A64" s="24">
        <v>73</v>
      </c>
      <c r="B64" s="23" t="s">
        <v>70</v>
      </c>
    </row>
    <row r="65" spans="1:2" x14ac:dyDescent="0.3">
      <c r="A65" s="24">
        <v>74</v>
      </c>
      <c r="B65" s="23" t="s">
        <v>71</v>
      </c>
    </row>
    <row r="66" spans="1:2" x14ac:dyDescent="0.3">
      <c r="A66" s="24">
        <v>106</v>
      </c>
      <c r="B66" s="23" t="s">
        <v>27</v>
      </c>
    </row>
    <row r="67" spans="1:2" x14ac:dyDescent="0.3">
      <c r="A67" s="24">
        <v>39</v>
      </c>
      <c r="B67" s="23" t="s">
        <v>51</v>
      </c>
    </row>
    <row r="68" spans="1:2" x14ac:dyDescent="0.3">
      <c r="A68" s="24">
        <v>105</v>
      </c>
      <c r="B68" s="23" t="s">
        <v>26</v>
      </c>
    </row>
    <row r="69" spans="1:2" x14ac:dyDescent="0.3">
      <c r="A69" s="24">
        <v>1</v>
      </c>
      <c r="B69" s="23" t="s">
        <v>19</v>
      </c>
    </row>
    <row r="70" spans="1:2" x14ac:dyDescent="0.3">
      <c r="A70" s="24">
        <v>3</v>
      </c>
      <c r="B70" s="23" t="s">
        <v>31</v>
      </c>
    </row>
    <row r="71" spans="1:2" x14ac:dyDescent="0.3">
      <c r="A71" s="24">
        <v>35</v>
      </c>
      <c r="B71" s="23" t="s">
        <v>48</v>
      </c>
    </row>
    <row r="72" spans="1:2" x14ac:dyDescent="0.3">
      <c r="A72" s="24">
        <v>2</v>
      </c>
      <c r="B72" s="23" t="s">
        <v>30</v>
      </c>
    </row>
    <row r="73" spans="1:2" x14ac:dyDescent="0.3">
      <c r="A73" s="24">
        <v>36</v>
      </c>
      <c r="B73" s="23" t="s">
        <v>49</v>
      </c>
    </row>
    <row r="74" spans="1:2" x14ac:dyDescent="0.3">
      <c r="A74" s="24">
        <v>37</v>
      </c>
      <c r="B74" s="23" t="s">
        <v>50</v>
      </c>
    </row>
    <row r="75" spans="1:2" x14ac:dyDescent="0.3">
      <c r="A75" s="24">
        <v>5</v>
      </c>
      <c r="B75" s="23" t="s">
        <v>59</v>
      </c>
    </row>
    <row r="76" spans="1:2" x14ac:dyDescent="0.3">
      <c r="A76" s="24">
        <v>38</v>
      </c>
      <c r="B76" s="23" t="s">
        <v>1</v>
      </c>
    </row>
    <row r="77" spans="1:2" x14ac:dyDescent="0.3">
      <c r="A77" s="24">
        <v>4</v>
      </c>
      <c r="B77" s="23" t="s">
        <v>32</v>
      </c>
    </row>
    <row r="78" spans="1:2" x14ac:dyDescent="0.3">
      <c r="A78" s="24">
        <v>164</v>
      </c>
      <c r="B78" s="23" t="s">
        <v>0</v>
      </c>
    </row>
    <row r="79" spans="1:2" x14ac:dyDescent="0.3">
      <c r="A79" s="24">
        <v>163</v>
      </c>
      <c r="B79" s="23" t="s">
        <v>46</v>
      </c>
    </row>
    <row r="80" spans="1:2" x14ac:dyDescent="0.3">
      <c r="A80" s="24">
        <v>122</v>
      </c>
      <c r="B80" s="23" t="s">
        <v>30</v>
      </c>
    </row>
    <row r="81" spans="1:2" x14ac:dyDescent="0.3">
      <c r="A81" s="24">
        <v>166</v>
      </c>
      <c r="B81" s="23" t="s">
        <v>0</v>
      </c>
    </row>
    <row r="82" spans="1:2" x14ac:dyDescent="0.3">
      <c r="A82" s="24">
        <v>121</v>
      </c>
      <c r="B82" s="23" t="s">
        <v>19</v>
      </c>
    </row>
    <row r="83" spans="1:2" x14ac:dyDescent="0.3">
      <c r="A83" s="24">
        <v>165</v>
      </c>
      <c r="B83" s="23" t="s">
        <v>47</v>
      </c>
    </row>
    <row r="84" spans="1:2" x14ac:dyDescent="0.3">
      <c r="A84" s="24">
        <v>124</v>
      </c>
      <c r="B84" s="23" t="s">
        <v>32</v>
      </c>
    </row>
    <row r="85" spans="1:2" x14ac:dyDescent="0.3">
      <c r="A85" s="24">
        <v>123</v>
      </c>
      <c r="B85" s="23" t="s">
        <v>31</v>
      </c>
    </row>
    <row r="86" spans="1:2" x14ac:dyDescent="0.3">
      <c r="A86" s="24">
        <v>126</v>
      </c>
      <c r="B86" s="23" t="s">
        <v>0</v>
      </c>
    </row>
    <row r="87" spans="1:2" x14ac:dyDescent="0.3">
      <c r="A87" s="24">
        <v>125</v>
      </c>
      <c r="B87" s="23" t="s">
        <v>33</v>
      </c>
    </row>
    <row r="88" spans="1:2" x14ac:dyDescent="0.3">
      <c r="A88" s="24">
        <v>160</v>
      </c>
      <c r="B88" s="23" t="s">
        <v>0</v>
      </c>
    </row>
    <row r="89" spans="1:2" x14ac:dyDescent="0.3">
      <c r="A89" s="24">
        <v>162</v>
      </c>
      <c r="B89" s="23" t="s">
        <v>0</v>
      </c>
    </row>
    <row r="90" spans="1:2" x14ac:dyDescent="0.3">
      <c r="A90" s="24">
        <v>161</v>
      </c>
      <c r="B90" s="23" t="s">
        <v>45</v>
      </c>
    </row>
    <row r="91" spans="1:2" x14ac:dyDescent="0.3">
      <c r="A91" s="24">
        <v>42</v>
      </c>
      <c r="B91" s="23" t="s">
        <v>54</v>
      </c>
    </row>
    <row r="92" spans="1:2" x14ac:dyDescent="0.3">
      <c r="A92" s="24">
        <v>43</v>
      </c>
      <c r="B92" s="23" t="s">
        <v>55</v>
      </c>
    </row>
    <row r="93" spans="1:2" x14ac:dyDescent="0.3">
      <c r="A93" s="24">
        <v>44</v>
      </c>
      <c r="B93" s="23" t="s">
        <v>56</v>
      </c>
    </row>
    <row r="94" spans="1:2" x14ac:dyDescent="0.3">
      <c r="A94" s="24">
        <v>45</v>
      </c>
      <c r="B94" s="23" t="s">
        <v>57</v>
      </c>
    </row>
    <row r="95" spans="1:2" x14ac:dyDescent="0.3">
      <c r="A95" s="24">
        <v>40</v>
      </c>
      <c r="B95" s="23" t="s">
        <v>52</v>
      </c>
    </row>
    <row r="96" spans="1:2" x14ac:dyDescent="0.3">
      <c r="A96" s="24">
        <v>41</v>
      </c>
      <c r="B96" s="23" t="s">
        <v>53</v>
      </c>
    </row>
    <row r="97" spans="1:2" x14ac:dyDescent="0.3">
      <c r="A97" s="24">
        <v>46</v>
      </c>
      <c r="B97" s="23" t="s">
        <v>58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D8754-B192-48E6-AE9A-816BBB91F9B7}">
  <sheetPr codeName="Tabelle5">
    <tabColor rgb="FFFF89C4"/>
  </sheetPr>
  <dimension ref="A1:B6"/>
  <sheetViews>
    <sheetView workbookViewId="0">
      <selection activeCell="F28" sqref="F28"/>
    </sheetView>
  </sheetViews>
  <sheetFormatPr baseColWidth="10" defaultRowHeight="15.05" x14ac:dyDescent="0.3"/>
  <cols>
    <col min="1" max="1" width="10.88671875" style="24"/>
    <col min="2" max="2" width="12.21875" style="23" customWidth="1"/>
  </cols>
  <sheetData>
    <row r="1" spans="1:2" x14ac:dyDescent="0.3">
      <c r="A1" s="24" t="s">
        <v>83</v>
      </c>
      <c r="B1" s="23" t="s">
        <v>84</v>
      </c>
    </row>
    <row r="2" spans="1:2" x14ac:dyDescent="0.3">
      <c r="A2" s="24">
        <v>0</v>
      </c>
      <c r="B2" s="23" t="s">
        <v>88</v>
      </c>
    </row>
    <row r="3" spans="1:2" x14ac:dyDescent="0.3">
      <c r="A3" s="24">
        <v>1</v>
      </c>
      <c r="B3" s="23" t="s">
        <v>86</v>
      </c>
    </row>
    <row r="4" spans="1:2" x14ac:dyDescent="0.3">
      <c r="A4" s="24">
        <v>2</v>
      </c>
      <c r="B4" s="23" t="s">
        <v>87</v>
      </c>
    </row>
    <row r="5" spans="1:2" x14ac:dyDescent="0.3">
      <c r="A5" s="24">
        <v>3</v>
      </c>
      <c r="B5" s="23" t="s">
        <v>52</v>
      </c>
    </row>
    <row r="6" spans="1:2" x14ac:dyDescent="0.3">
      <c r="A6" s="24">
        <v>4</v>
      </c>
      <c r="B6" s="23" t="s">
        <v>85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1109A-B1B9-490C-9923-EC02A7CCA728}">
  <sheetPr codeName="Tabelle3">
    <tabColor rgb="FFFF89C4"/>
  </sheetPr>
  <dimension ref="A1:B5"/>
  <sheetViews>
    <sheetView workbookViewId="0">
      <selection activeCell="C15" sqref="C14:C15"/>
    </sheetView>
  </sheetViews>
  <sheetFormatPr baseColWidth="10" defaultRowHeight="15.05" x14ac:dyDescent="0.3"/>
  <cols>
    <col min="2" max="2" width="25.21875" customWidth="1"/>
  </cols>
  <sheetData>
    <row r="1" spans="1:2" x14ac:dyDescent="0.3">
      <c r="A1" t="s">
        <v>6</v>
      </c>
      <c r="B1" t="s">
        <v>14</v>
      </c>
    </row>
    <row r="2" spans="1:2" x14ac:dyDescent="0.3">
      <c r="A2" t="s">
        <v>9</v>
      </c>
      <c r="B2" t="s">
        <v>10</v>
      </c>
    </row>
    <row r="3" spans="1:2" x14ac:dyDescent="0.3">
      <c r="A3" t="s">
        <v>7</v>
      </c>
      <c r="B3" t="s">
        <v>11</v>
      </c>
    </row>
    <row r="4" spans="1:2" x14ac:dyDescent="0.3">
      <c r="A4" t="s">
        <v>8</v>
      </c>
      <c r="B4" t="s">
        <v>12</v>
      </c>
    </row>
    <row r="5" spans="1:2" x14ac:dyDescent="0.3">
      <c r="B5" t="s">
        <v>13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A005F-F95B-418B-9BF6-185EEC96391D}">
  <sheetPr codeName="Tabelle2">
    <tabColor rgb="FFFF89C4"/>
  </sheetPr>
  <dimension ref="A3:B27"/>
  <sheetViews>
    <sheetView workbookViewId="0">
      <selection activeCell="S15" sqref="S15"/>
    </sheetView>
  </sheetViews>
  <sheetFormatPr baseColWidth="10" defaultRowHeight="15.05" x14ac:dyDescent="0.3"/>
  <cols>
    <col min="1" max="1" width="19.6640625" bestFit="1" customWidth="1"/>
    <col min="2" max="2" width="13.88671875" bestFit="1" customWidth="1"/>
    <col min="3" max="3" width="8.88671875" bestFit="1" customWidth="1"/>
    <col min="4" max="4" width="12.6640625" bestFit="1" customWidth="1"/>
    <col min="5" max="5" width="8.88671875" bestFit="1" customWidth="1"/>
    <col min="6" max="6" width="11.44140625" bestFit="1" customWidth="1"/>
    <col min="7" max="7" width="11.33203125" bestFit="1" customWidth="1"/>
    <col min="8" max="8" width="14.109375" bestFit="1" customWidth="1"/>
    <col min="9" max="9" width="9.33203125" bestFit="1" customWidth="1"/>
    <col min="10" max="10" width="11.6640625" bestFit="1" customWidth="1"/>
    <col min="11" max="11" width="12.5546875" bestFit="1" customWidth="1"/>
    <col min="12" max="12" width="10.77734375" bestFit="1" customWidth="1"/>
    <col min="13" max="13" width="16.109375" bestFit="1" customWidth="1"/>
    <col min="14" max="14" width="11.109375" bestFit="1" customWidth="1"/>
    <col min="15" max="15" width="12.77734375" bestFit="1" customWidth="1"/>
    <col min="16" max="16" width="9.21875" bestFit="1" customWidth="1"/>
    <col min="17" max="17" width="11" bestFit="1" customWidth="1"/>
    <col min="18" max="18" width="13.5546875" bestFit="1" customWidth="1"/>
    <col min="19" max="19" width="13.33203125" bestFit="1" customWidth="1"/>
    <col min="20" max="20" width="13.6640625" bestFit="1" customWidth="1"/>
    <col min="21" max="21" width="7.77734375" bestFit="1" customWidth="1"/>
    <col min="22" max="22" width="9.44140625" bestFit="1" customWidth="1"/>
    <col min="23" max="23" width="8.21875" bestFit="1" customWidth="1"/>
    <col min="24" max="24" width="8.6640625" bestFit="1" customWidth="1"/>
    <col min="25" max="26" width="13.88671875" bestFit="1" customWidth="1"/>
    <col min="27" max="27" width="11.33203125" bestFit="1" customWidth="1"/>
    <col min="28" max="28" width="13.88671875" bestFit="1" customWidth="1"/>
    <col min="29" max="29" width="11.33203125" bestFit="1" customWidth="1"/>
    <col min="30" max="30" width="13.88671875" bestFit="1" customWidth="1"/>
    <col min="31" max="31" width="11.33203125" bestFit="1" customWidth="1"/>
    <col min="32" max="32" width="13.88671875" bestFit="1" customWidth="1"/>
    <col min="33" max="33" width="11.33203125" bestFit="1" customWidth="1"/>
    <col min="34" max="34" width="13.88671875" bestFit="1" customWidth="1"/>
    <col min="35" max="35" width="11.33203125" bestFit="1" customWidth="1"/>
    <col min="36" max="36" width="13.88671875" bestFit="1" customWidth="1"/>
    <col min="37" max="37" width="11.33203125" bestFit="1" customWidth="1"/>
    <col min="38" max="38" width="13.88671875" bestFit="1" customWidth="1"/>
    <col min="39" max="39" width="11.33203125" bestFit="1" customWidth="1"/>
    <col min="40" max="40" width="13.88671875" bestFit="1" customWidth="1"/>
    <col min="41" max="41" width="11.33203125" bestFit="1" customWidth="1"/>
    <col min="42" max="42" width="13.88671875" bestFit="1" customWidth="1"/>
    <col min="43" max="43" width="11.33203125" bestFit="1" customWidth="1"/>
    <col min="44" max="44" width="13.88671875" bestFit="1" customWidth="1"/>
    <col min="45" max="45" width="11.33203125" bestFit="1" customWidth="1"/>
    <col min="46" max="46" width="13.88671875" bestFit="1" customWidth="1"/>
    <col min="47" max="47" width="11.33203125" bestFit="1" customWidth="1"/>
    <col min="48" max="48" width="21.21875" bestFit="1" customWidth="1"/>
    <col min="49" max="49" width="18.5546875" bestFit="1" customWidth="1"/>
  </cols>
  <sheetData>
    <row r="3" spans="1:2" x14ac:dyDescent="0.3">
      <c r="A3" s="66" t="s">
        <v>146</v>
      </c>
      <c r="B3" t="s">
        <v>148</v>
      </c>
    </row>
    <row r="4" spans="1:2" x14ac:dyDescent="0.3">
      <c r="A4" s="67" t="s">
        <v>19</v>
      </c>
      <c r="B4" s="68">
        <v>1</v>
      </c>
    </row>
    <row r="5" spans="1:2" x14ac:dyDescent="0.3">
      <c r="A5" s="67" t="s">
        <v>40</v>
      </c>
      <c r="B5" s="68">
        <v>2</v>
      </c>
    </row>
    <row r="6" spans="1:2" x14ac:dyDescent="0.3">
      <c r="A6" s="67" t="s">
        <v>24</v>
      </c>
      <c r="B6" s="68">
        <v>1</v>
      </c>
    </row>
    <row r="7" spans="1:2" x14ac:dyDescent="0.3">
      <c r="A7" s="67" t="s">
        <v>36</v>
      </c>
      <c r="B7" s="68">
        <v>1</v>
      </c>
    </row>
    <row r="8" spans="1:2" x14ac:dyDescent="0.3">
      <c r="A8" s="67" t="s">
        <v>45</v>
      </c>
      <c r="B8" s="68">
        <v>1</v>
      </c>
    </row>
    <row r="9" spans="1:2" x14ac:dyDescent="0.3">
      <c r="A9" s="67" t="s">
        <v>29</v>
      </c>
      <c r="B9" s="68">
        <v>3</v>
      </c>
    </row>
    <row r="10" spans="1:2" x14ac:dyDescent="0.3">
      <c r="A10" s="67" t="s">
        <v>22</v>
      </c>
      <c r="B10" s="68">
        <v>1</v>
      </c>
    </row>
    <row r="11" spans="1:2" x14ac:dyDescent="0.3">
      <c r="A11" s="67" t="s">
        <v>58</v>
      </c>
      <c r="B11" s="68">
        <v>1</v>
      </c>
    </row>
    <row r="12" spans="1:2" x14ac:dyDescent="0.3">
      <c r="A12" s="67" t="s">
        <v>70</v>
      </c>
      <c r="B12" s="68">
        <v>4</v>
      </c>
    </row>
    <row r="13" spans="1:2" x14ac:dyDescent="0.3">
      <c r="A13" s="67" t="s">
        <v>71</v>
      </c>
      <c r="B13" s="68">
        <v>2</v>
      </c>
    </row>
    <row r="14" spans="1:2" x14ac:dyDescent="0.3">
      <c r="A14" s="67" t="s">
        <v>27</v>
      </c>
      <c r="B14" s="68">
        <v>1</v>
      </c>
    </row>
    <row r="15" spans="1:2" x14ac:dyDescent="0.3">
      <c r="A15" s="67" t="s">
        <v>56</v>
      </c>
      <c r="B15" s="68">
        <v>2</v>
      </c>
    </row>
    <row r="16" spans="1:2" x14ac:dyDescent="0.3">
      <c r="A16" s="67" t="s">
        <v>57</v>
      </c>
      <c r="B16" s="68">
        <v>1</v>
      </c>
    </row>
    <row r="17" spans="1:2" x14ac:dyDescent="0.3">
      <c r="A17" s="67" t="s">
        <v>28</v>
      </c>
      <c r="B17" s="68">
        <v>3</v>
      </c>
    </row>
    <row r="18" spans="1:2" x14ac:dyDescent="0.3">
      <c r="A18" s="67" t="s">
        <v>39</v>
      </c>
      <c r="B18" s="68">
        <v>6</v>
      </c>
    </row>
    <row r="19" spans="1:2" x14ac:dyDescent="0.3">
      <c r="A19" s="67" t="s">
        <v>73</v>
      </c>
      <c r="B19" s="68">
        <v>1</v>
      </c>
    </row>
    <row r="20" spans="1:2" x14ac:dyDescent="0.3">
      <c r="A20" s="67" t="s">
        <v>68</v>
      </c>
      <c r="B20" s="68">
        <v>2</v>
      </c>
    </row>
    <row r="21" spans="1:2" x14ac:dyDescent="0.3">
      <c r="A21" s="67" t="s">
        <v>69</v>
      </c>
      <c r="B21" s="68">
        <v>4</v>
      </c>
    </row>
    <row r="22" spans="1:2" x14ac:dyDescent="0.3">
      <c r="A22" s="67" t="s">
        <v>72</v>
      </c>
      <c r="B22" s="68">
        <v>4</v>
      </c>
    </row>
    <row r="23" spans="1:2" x14ac:dyDescent="0.3">
      <c r="A23" s="67" t="s">
        <v>46</v>
      </c>
      <c r="B23" s="68">
        <v>3</v>
      </c>
    </row>
    <row r="24" spans="1:2" x14ac:dyDescent="0.3">
      <c r="A24" s="67" t="s">
        <v>23</v>
      </c>
      <c r="B24" s="68">
        <v>3</v>
      </c>
    </row>
    <row r="25" spans="1:2" x14ac:dyDescent="0.3">
      <c r="A25" s="67" t="s">
        <v>38</v>
      </c>
      <c r="B25" s="68">
        <v>2</v>
      </c>
    </row>
    <row r="26" spans="1:2" x14ac:dyDescent="0.3">
      <c r="A26" s="67" t="s">
        <v>25</v>
      </c>
      <c r="B26" s="68">
        <v>1</v>
      </c>
    </row>
    <row r="27" spans="1:2" x14ac:dyDescent="0.3">
      <c r="A27" s="67" t="s">
        <v>147</v>
      </c>
      <c r="B27" s="68">
        <v>50</v>
      </c>
    </row>
  </sheetData>
  <pageMargins left="0.7" right="0.7" top="0.78740157499999996" bottom="0.78740157499999996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7A51444-5D63-492F-9499-C9788F64EF0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9</vt:i4>
      </vt:variant>
      <vt:variant>
        <vt:lpstr>Benannte Bereiche</vt:lpstr>
      </vt:variant>
      <vt:variant>
        <vt:i4>5</vt:i4>
      </vt:variant>
    </vt:vector>
  </HeadingPairs>
  <TitlesOfParts>
    <vt:vector size="14" baseType="lpstr">
      <vt:lpstr>dashboard</vt:lpstr>
      <vt:lpstr>ClanMembers</vt:lpstr>
      <vt:lpstr>hDataTotal</vt:lpstr>
      <vt:lpstr>AddDonations</vt:lpstr>
      <vt:lpstr>CDMGR</vt:lpstr>
      <vt:lpstr>hClasses</vt:lpstr>
      <vt:lpstr>hRoles</vt:lpstr>
      <vt:lpstr>hCDs</vt:lpstr>
      <vt:lpstr>hChart_ClassDistribution</vt:lpstr>
      <vt:lpstr>col_hDataTotal_Members</vt:lpstr>
      <vt:lpstr>col_thisWeeksDonations</vt:lpstr>
      <vt:lpstr>donations_MembersList</vt:lpstr>
      <vt:lpstr>TblContent_Members</vt:lpstr>
      <vt:lpstr>testCls</vt:lpstr>
    </vt:vector>
  </TitlesOfParts>
  <Manager>AidMaiden (immo)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HF Clan Management System</dc:title>
  <dc:creator>AidMaiden (immo)</dc:creator>
  <cp:lastModifiedBy>Benjamin Reimer</cp:lastModifiedBy>
  <cp:revision>1</cp:revision>
  <dcterms:created xsi:type="dcterms:W3CDTF">2020-06-10T20:38:55Z</dcterms:created>
  <dcterms:modified xsi:type="dcterms:W3CDTF">2023-02-25T00:24:27Z</dcterms:modified>
  <cp:category>Donations, CDs, Clan Bank</cp:category>
  <cp:version>1.5</cp:version>
</cp:coreProperties>
</file>